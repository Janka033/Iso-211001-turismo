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" sheetId="1" r:id="rId4"/>
    <sheet state="visible" name="CRITERIOS" sheetId="2" r:id="rId5"/>
    <sheet state="hidden" name="BD" sheetId="3" r:id="rId6"/>
    <sheet state="visible" name="TABLA CLASIFICACIÓN" sheetId="4" r:id="rId7"/>
  </sheets>
  <externalReferences>
    <externalReference r:id="rId8"/>
    <externalReference r:id="rId9"/>
  </externalReferences>
  <definedNames>
    <definedName name="AB">[1]BASE!$A$1:$IV$65536</definedName>
    <definedName name="ABC">[1]BASE1!$A$1:$IV$65536</definedName>
    <definedName name="ABVF">[1]GRADO1!$A$1:$IV$65536</definedName>
    <definedName name="Rango1">'[2]Matriz de Peligros'!$CG$495:$CH$505</definedName>
    <definedName name="Rango2">'[2]Matriz de Peligros'!$CJ$495:$CL$517</definedName>
    <definedName localSheetId="0" name="CONSE">#REF!</definedName>
    <definedName localSheetId="0" name="PROBAB">#REF!</definedName>
    <definedName name="NLESION">#REF!</definedName>
    <definedName name="CONSE">#REF!</definedName>
    <definedName name="PROBAB">#REF!</definedName>
    <definedName localSheetId="0" name="EXPOSI">#REF!</definedName>
    <definedName localSheetId="0" name="ABCD">#REF!</definedName>
    <definedName localSheetId="0" name="NATURALEZA_DE_LA_LESION">#REF!</definedName>
    <definedName localSheetId="0" name="NLESION">#REF!</definedName>
    <definedName name="EXPOSI">#REF!</definedName>
    <definedName name="ABCD">#REF!</definedName>
    <definedName name="NATURALEZA_DE_LA_LESION">#REF!</definedName>
  </definedNames>
  <calcPr/>
  <extLst>
    <ext uri="GoogleSheetsCustomDataVersion2">
      <go:sheetsCustomData xmlns:go="http://customooxmlschemas.google.com/" r:id="rId10" roundtripDataChecksum="Cws8emseGrFMHQYhLkHpBmY+DYbtjYNHjFx6eR4IVMo="/>
    </ext>
  </extLst>
</workbook>
</file>

<file path=xl/sharedStrings.xml><?xml version="1.0" encoding="utf-8"?>
<sst xmlns="http://schemas.openxmlformats.org/spreadsheetml/2006/main" count="480" uniqueCount="314">
  <si>
    <t>LOGO DEL PST</t>
  </si>
  <si>
    <t xml:space="preserve">NOMBRE DEL PST </t>
  </si>
  <si>
    <t xml:space="preserve">MAPA DE RIESGOS Y OPORTUNIDADES </t>
  </si>
  <si>
    <t>CÓDIGO:</t>
  </si>
  <si>
    <t>VERSIÓN:</t>
  </si>
  <si>
    <t xml:space="preserve">Mapa de riesgos y oportunidades </t>
  </si>
  <si>
    <t xml:space="preserve">Organizacional </t>
  </si>
  <si>
    <t>ACTIVIDAD DE TURISMO DE AVENTURA</t>
  </si>
  <si>
    <t>IDENTIFICACIÓN</t>
  </si>
  <si>
    <t>EVALUACIÓN</t>
  </si>
  <si>
    <t>TRATAMIENTO</t>
  </si>
  <si>
    <t>SEGUIMIENTO Y EVALUACIÓN</t>
  </si>
  <si>
    <t>FECHA</t>
  </si>
  <si>
    <t xml:space="preserve">PROCESO </t>
  </si>
  <si>
    <t>ACTIVIDADES ESPECÍFICAS / PROCEDIMIENTO</t>
  </si>
  <si>
    <t>TIPO DE SITUACIÓN</t>
  </si>
  <si>
    <t>FUENTE DEL RIESGO / OPORTUNIDAD</t>
  </si>
  <si>
    <t>DESCRIPCIÓN DEL RIESGO / OPORTUNIDAD</t>
  </si>
  <si>
    <t>CAUSAS PROBABLES DEL RIESGO O FACTORES QUE FAVORECEN LA OPORTUNIDAD</t>
  </si>
  <si>
    <t>CLASIFICACIÓN DEL RIESGO / OPORTUNIDAD</t>
  </si>
  <si>
    <t>CONSECUENCIAS O EFECTOS DEL RIESGO / OPORTUNIDAD</t>
  </si>
  <si>
    <t>CONTROLES EXISTENTES
(SI EXISTEN)</t>
  </si>
  <si>
    <t>VALORACIÓN RIESGO / OPORTUNIDAD</t>
  </si>
  <si>
    <t>OPCIONES DE MANEJO</t>
  </si>
  <si>
    <t>ACCIONES</t>
  </si>
  <si>
    <t>RESPONSABLE</t>
  </si>
  <si>
    <t>FECHA LÍMITE</t>
  </si>
  <si>
    <t>FECHA DE SEGUIMIENTO</t>
  </si>
  <si>
    <t>DESCRIBIR EL AVANCE Y ESTADO ACTUAL DE LAS ACCIONES</t>
  </si>
  <si>
    <t>RESULTADO ALCANZADO</t>
  </si>
  <si>
    <t>EFICAZ</t>
  </si>
  <si>
    <t>OBSERVACIONES</t>
  </si>
  <si>
    <t>PROBABILIDAD</t>
  </si>
  <si>
    <t>IMPACTO</t>
  </si>
  <si>
    <t>VALORACIÓN</t>
  </si>
  <si>
    <t>EVALUACIÓN RIESGO U OPORTUNIDAD</t>
  </si>
  <si>
    <t>SI</t>
  </si>
  <si>
    <t>NO</t>
  </si>
  <si>
    <t>NOMBRE DEL PST</t>
  </si>
  <si>
    <t>CRITERIOS</t>
  </si>
  <si>
    <t>TABLA DE PROBABILIDAD</t>
  </si>
  <si>
    <t>TABLA DE IMPACTO PARA RIESGOS</t>
  </si>
  <si>
    <t>TABLA DE IMPACTO PARA OPORTUNIDADES</t>
  </si>
  <si>
    <t>NIVEL</t>
  </si>
  <si>
    <t>DESCRIPTOR</t>
  </si>
  <si>
    <t>DESCRIPCIÓN  (FACTIBILIDAD)</t>
  </si>
  <si>
    <t>FRECUENCIA</t>
  </si>
  <si>
    <t xml:space="preserve">DESCRIPCIÓN </t>
  </si>
  <si>
    <t>RARO</t>
  </si>
  <si>
    <t>El evento puede ocurrir solo en circunstancias excepcionales</t>
  </si>
  <si>
    <t>No se ha presentado en los últimos 5 años.</t>
  </si>
  <si>
    <t xml:space="preserve">Insignificante </t>
  </si>
  <si>
    <t>Si el hecho llegara a presentarse, tendría consecuencias o efectos mínimos sobre la organización.</t>
  </si>
  <si>
    <t xml:space="preserve">Favorecedor </t>
  </si>
  <si>
    <t xml:space="preserve">Si el hecho pudiera lograrse, representaría un impacto favorecedor en los intereses de la organización.  </t>
  </si>
  <si>
    <t>IMPROBABLE</t>
  </si>
  <si>
    <t>El evento puede ocurrir en algún momento.</t>
  </si>
  <si>
    <t>Al menos de 1 vez en los últimos 5 años.</t>
  </si>
  <si>
    <t xml:space="preserve">Menor </t>
  </si>
  <si>
    <t xml:space="preserve">Si el hecho llegara a presentarse, tendría bajo impacto o efecto sobre la organización. </t>
  </si>
  <si>
    <t xml:space="preserve">Deseable </t>
  </si>
  <si>
    <t xml:space="preserve">Si el hecho pudiera lograrse, representaría un impacto deseable en los intereses de la organización.  </t>
  </si>
  <si>
    <t>POSIBLE</t>
  </si>
  <si>
    <t>El evento podría ocurrir en algún momento.</t>
  </si>
  <si>
    <t>Al menos de 1 vez en los últimos 2 años.</t>
  </si>
  <si>
    <t xml:space="preserve">Moderado </t>
  </si>
  <si>
    <t xml:space="preserve">Si el hecho llegara a presentarse, tendría medianas consecuencias o efectos sobre la organización. </t>
  </si>
  <si>
    <t xml:space="preserve">Positivo </t>
  </si>
  <si>
    <t>Si el hecho pudiera lograrse, representaría un impacto positivo en el logro de los objetivos de la organización.</t>
  </si>
  <si>
    <t>PROBABLE</t>
  </si>
  <si>
    <t>El evento probablemente ocurrirá en la mayoría de las circunstancias.</t>
  </si>
  <si>
    <t>Al menos de 1 vez en el último año.</t>
  </si>
  <si>
    <t xml:space="preserve">Mayor </t>
  </si>
  <si>
    <t xml:space="preserve">Si el hecho llegara a presentarse, tendría altas consecuencias o efectos sobre la organización. </t>
  </si>
  <si>
    <t xml:space="preserve">Muy positivo </t>
  </si>
  <si>
    <t xml:space="preserve">Si el hecho pudiera lograrse, representaría un impacto muy positivo en el logro de los objetivos de la organización.  </t>
  </si>
  <si>
    <t>CASI SEGURO</t>
  </si>
  <si>
    <t>Se espera que el evento ocurra en la mayoría de las circunstancias.</t>
  </si>
  <si>
    <t xml:space="preserve">Más de 1 vez al año. </t>
  </si>
  <si>
    <t xml:space="preserve">Catastrófico </t>
  </si>
  <si>
    <t xml:space="preserve">si el hecho llegara a presentarse, tendría desastrosas consecuencias o efectos sobre la organización.  </t>
  </si>
  <si>
    <t xml:space="preserve">Extraordinario </t>
  </si>
  <si>
    <t xml:space="preserve">Si el hecho pudiera lograrse, representaría una oportunidad extraordinaria para el logro de los objetivos de la organización.  </t>
  </si>
  <si>
    <t>TABLA DE VALORACIÓN DE RIESGOS / OPORTUNIDADES</t>
  </si>
  <si>
    <t>ACCIONES PARA OPORTUNIDADES</t>
  </si>
  <si>
    <t>Raro</t>
  </si>
  <si>
    <t>Improbable</t>
  </si>
  <si>
    <t xml:space="preserve">Posible </t>
  </si>
  <si>
    <t>Probable</t>
  </si>
  <si>
    <t>Casi cierto</t>
  </si>
  <si>
    <t>DESCRIPCIÓN</t>
  </si>
  <si>
    <t>MARAVILLOSA</t>
  </si>
  <si>
    <t xml:space="preserve">Implementar plan </t>
  </si>
  <si>
    <t>Buena</t>
  </si>
  <si>
    <t>Atractiva</t>
  </si>
  <si>
    <t xml:space="preserve">Maravillosa  </t>
  </si>
  <si>
    <t>Maravillosa</t>
  </si>
  <si>
    <t>OPORTUNIDADES</t>
  </si>
  <si>
    <t xml:space="preserve">ATRACTIVA </t>
  </si>
  <si>
    <t xml:space="preserve">Definir plan </t>
  </si>
  <si>
    <t xml:space="preserve">BUENA </t>
  </si>
  <si>
    <t xml:space="preserve">Evaluar costo / beneficio </t>
  </si>
  <si>
    <t>Retadora</t>
  </si>
  <si>
    <t xml:space="preserve">Buena </t>
  </si>
  <si>
    <t xml:space="preserve">RETADORA </t>
  </si>
  <si>
    <t>Considerar</t>
  </si>
  <si>
    <t>ACCIONES PARA RIESGOS</t>
  </si>
  <si>
    <t xml:space="preserve">BAJO </t>
  </si>
  <si>
    <t>Asumir el riesgo</t>
  </si>
  <si>
    <t xml:space="preserve">MODERADO </t>
  </si>
  <si>
    <t>Asumir / reducir el riesgo</t>
  </si>
  <si>
    <t>ALTO</t>
  </si>
  <si>
    <t>Reducir, evitar, transferir el riesgo</t>
  </si>
  <si>
    <t xml:space="preserve">EXTREMO </t>
  </si>
  <si>
    <t xml:space="preserve"> Evitar, reducir, transferir el riesgo</t>
  </si>
  <si>
    <t>Insignificante</t>
  </si>
  <si>
    <t>Bajo</t>
  </si>
  <si>
    <t>Moderado</t>
  </si>
  <si>
    <t>RIESGOS</t>
  </si>
  <si>
    <t>Menor</t>
  </si>
  <si>
    <t>Alto</t>
  </si>
  <si>
    <t>Extremo</t>
  </si>
  <si>
    <t>Mayor</t>
  </si>
  <si>
    <t>Catastrófico</t>
  </si>
  <si>
    <t>EXTREMO</t>
  </si>
  <si>
    <t xml:space="preserve"> Evitar, Reducir, Transferir</t>
  </si>
  <si>
    <t>RIESGO</t>
  </si>
  <si>
    <t>OPORTUNIDAD</t>
  </si>
  <si>
    <t>Color</t>
  </si>
  <si>
    <t>HEX</t>
  </si>
  <si>
    <t>#FC0B0F</t>
  </si>
  <si>
    <t>Reducir, Evitar, Transferir</t>
  </si>
  <si>
    <t>#FF5901</t>
  </si>
  <si>
    <t>MODERADO</t>
  </si>
  <si>
    <t xml:space="preserve">Asumir / reducir </t>
  </si>
  <si>
    <t>#FFB101</t>
  </si>
  <si>
    <t>BAJO</t>
  </si>
  <si>
    <t xml:space="preserve">Asumir </t>
  </si>
  <si>
    <t>#FEE706</t>
  </si>
  <si>
    <t>RETADORA</t>
  </si>
  <si>
    <t>#CAE749</t>
  </si>
  <si>
    <t>BUENA</t>
  </si>
  <si>
    <t>#A3D74E</t>
  </si>
  <si>
    <t>#6EC76A</t>
  </si>
  <si>
    <t xml:space="preserve">Implementar Plan </t>
  </si>
  <si>
    <t>#0CA856</t>
  </si>
  <si>
    <t xml:space="preserve">TIPO DE SITUACIÓN </t>
  </si>
  <si>
    <t>FUENTE</t>
  </si>
  <si>
    <t>TIPO DE MAPA</t>
  </si>
  <si>
    <t xml:space="preserve">Riesgo </t>
  </si>
  <si>
    <t>Ambientales</t>
  </si>
  <si>
    <t>Canyoning</t>
  </si>
  <si>
    <t>Oportunidad</t>
  </si>
  <si>
    <t>Alcance del sistema de gestión</t>
  </si>
  <si>
    <t>Ciberseguridad</t>
  </si>
  <si>
    <t xml:space="preserve">Actividad de turismo de aventura </t>
  </si>
  <si>
    <t xml:space="preserve">Buceo </t>
  </si>
  <si>
    <t>Cambios en la organización</t>
  </si>
  <si>
    <t>De infraestructra (instalaciones y equipos)</t>
  </si>
  <si>
    <t xml:space="preserve">Rafting </t>
  </si>
  <si>
    <t>Contexto organizacional</t>
  </si>
  <si>
    <t>Económicos y financieros.</t>
  </si>
  <si>
    <t>Cabalgatas</t>
  </si>
  <si>
    <t>Desempeño de proceso / producto / servicio</t>
  </si>
  <si>
    <t>Gastronómicos o de seguridad alimentaria</t>
  </si>
  <si>
    <t>Espeleología</t>
  </si>
  <si>
    <t>No conformidades</t>
  </si>
  <si>
    <t>Médicos</t>
  </si>
  <si>
    <t xml:space="preserve">Rapel </t>
  </si>
  <si>
    <t xml:space="preserve">Reportes climáticos </t>
  </si>
  <si>
    <t>Operativos (seguridad en la operación de los servicios turísticos)</t>
  </si>
  <si>
    <t xml:space="preserve">Parapente </t>
  </si>
  <si>
    <t>Requisitos de las partes interesadas</t>
  </si>
  <si>
    <t>Organizacionales</t>
  </si>
  <si>
    <t>Requisitos legales y otros requisitos</t>
  </si>
  <si>
    <t>Públicos</t>
  </si>
  <si>
    <t>Otra ¿Cuál?</t>
  </si>
  <si>
    <t>Seguridad en aglomeraciones de público.</t>
  </si>
  <si>
    <t>Seguridad en la información</t>
  </si>
  <si>
    <t>Seguridad para las personas con discapacidad y otras personas con requisitos específicos de acceso</t>
  </si>
  <si>
    <t>Seguridad vial y de transporte.</t>
  </si>
  <si>
    <t>Sociales</t>
  </si>
  <si>
    <t>LOGO PST</t>
  </si>
  <si>
    <t>NOMBRE PST</t>
  </si>
  <si>
    <t>TABLA CLASIFICACIÓN DE RIESGOS</t>
  </si>
  <si>
    <t>CÓDIGO</t>
  </si>
  <si>
    <t>VERSIÓN</t>
  </si>
  <si>
    <t>CLASIFICACIÓN</t>
  </si>
  <si>
    <t>Ambientales (incluye climáticos)</t>
  </si>
  <si>
    <t>Médicos o de salud</t>
  </si>
  <si>
    <t>Seguridad vial y de transporte</t>
  </si>
  <si>
    <t>De infraestructura (instalaciones y equipos)</t>
  </si>
  <si>
    <t>POSIBLES RIESGOS</t>
  </si>
  <si>
    <t>Presencia de vectores en establecimientos</t>
  </si>
  <si>
    <t>Atentados</t>
  </si>
  <si>
    <t>Manejo de los grupos de participantes o clientes (Integración, trabajo en equipo)</t>
  </si>
  <si>
    <t>Drogadicción y alcoholismo en destinos y/o actividades turísticas</t>
  </si>
  <si>
    <t>Pérdida de la información</t>
  </si>
  <si>
    <t>Hackeo de información</t>
  </si>
  <si>
    <t>Crisis financiera</t>
  </si>
  <si>
    <t>Asfixia</t>
  </si>
  <si>
    <t>Falta de promoción del destino</t>
  </si>
  <si>
    <t>Gestión organizacional (Estilo de mando, contratación, bienestar social, trabajo bajo presión)</t>
  </si>
  <si>
    <t>Contaminación de producto</t>
  </si>
  <si>
    <t>Factor humano:</t>
  </si>
  <si>
    <t>Estado de Oficinas o sedes</t>
  </si>
  <si>
    <t>Medios de comunicación no aptos para personas con discapacidad</t>
  </si>
  <si>
    <t>Falta de cobertura y acceso de agua en zonas rurales y urbanas</t>
  </si>
  <si>
    <t>⁠Robos / atracos</t>
  </si>
  <si>
    <t>Condiciones de salud por parte de los clientes, requeridas para la ejecución del servicio.</t>
  </si>
  <si>
    <t>Informalidad por falta de oportunidades de empleo</t>
  </si>
  <si>
    <t>Falla del canal de Internet o canales de telecomunicaciones dedicados a los clientes</t>
  </si>
  <si>
    <t>Ataques de phishing, spam, social media, para acceder a información</t>
  </si>
  <si>
    <t>Costos del negocio</t>
  </si>
  <si>
    <t>Comportamiento de las personas ante estímulos externos e internos</t>
  </si>
  <si>
    <t>La contaminación y degradación del entorno</t>
  </si>
  <si>
    <t>Estrategias</t>
  </si>
  <si>
    <t>Incumplimiento de especificaciones de producto</t>
  </si>
  <si>
    <t>Exceso del límite máximo de velocidad</t>
  </si>
  <si>
    <t>Estado eléctrico (Alta, media o baja tensión)</t>
  </si>
  <si>
    <t>Turismo accesible</t>
  </si>
  <si>
    <t>Contaminación del aire, suelo, recurso hídrico.</t>
  </si>
  <si>
    <t>Secuestros</t>
  </si>
  <si>
    <t>Pánico o ansiedad o desmayo</t>
  </si>
  <si>
    <t>Incremento de migración.</t>
  </si>
  <si>
    <t>Uso de software no licenciado</t>
  </si>
  <si>
    <t>Falsedad de identidad en redes como PST hacia clientes</t>
  </si>
  <si>
    <t>Presupuesto financiero y de ventas</t>
  </si>
  <si>
    <t>Condiciones del lugar o escenario que agrupa las personas</t>
  </si>
  <si>
    <t>No dominio de un segundo idioma</t>
  </si>
  <si>
    <t>Continuidad del negocio</t>
  </si>
  <si>
    <t>Estado refrigeración</t>
  </si>
  <si>
    <t>Consumo de alcohol o sustancias psicoactivas antes o durante la conducción</t>
  </si>
  <si>
    <t>Parque automotor</t>
  </si>
  <si>
    <t>Accesibilidad para colaboradores</t>
  </si>
  <si>
    <t>Aumento o escasez de lluvias</t>
  </si>
  <si>
    <t>⁠Delincuencia común</t>
  </si>
  <si>
    <t>Enfermedades virales en el área donde se presta el servicio.</t>
  </si>
  <si>
    <t>Trabajo infantil y ESCNNA</t>
  </si>
  <si>
    <t>Gastos no planificados de mantenimiento por falta de soporte de equipos</t>
  </si>
  <si>
    <t>Uso inadecuado de inteligencia artificial</t>
  </si>
  <si>
    <t>Lavado de activos</t>
  </si>
  <si>
    <t>Aforo del evento</t>
  </si>
  <si>
    <t>La falta de divulgación de las medidas preventivas que deben tomar los visitantes, huéspedes y/o clientes</t>
  </si>
  <si>
    <t>Afectación de unidad de negocio</t>
  </si>
  <si>
    <t>Insatisfacción de consumidores del producto consumido</t>
  </si>
  <si>
    <t>Sueño o fatiga</t>
  </si>
  <si>
    <t>Estado de equipos de prestación del servicio</t>
  </si>
  <si>
    <t>Adaptación del servicio para accesibilidad de personas con discapacidad</t>
  </si>
  <si>
    <t>Incremento de sequías</t>
  </si>
  <si>
    <t>Marchas / manifestaciones</t>
  </si>
  <si>
    <t>Pandemias</t>
  </si>
  <si>
    <t>Apoyo insuficiente a población vulnerable por falta de programas de los municipios.</t>
  </si>
  <si>
    <t>Fuga de información confidencial del cliente</t>
  </si>
  <si>
    <t>Acuerdos con grupos al margen de la ley</t>
  </si>
  <si>
    <t>Perfil demográfico de los asistentes o participantes</t>
  </si>
  <si>
    <t>Calificación del servicio: por sobrecarga del lugar, Higiene y seguridad - ocurrencia de accidentes (visitantes, huéspedes y/o clientes), intoxicaciones (clientes - sector gastronómico)</t>
  </si>
  <si>
    <t>Afectación de la salud de los consumidores</t>
  </si>
  <si>
    <t>Uso de equipos bidireccionales</t>
  </si>
  <si>
    <t>Estado dotación maquinaria o herramientas</t>
  </si>
  <si>
    <t>Falta de formación a colaboradores para manejo de medios de apoyo para atender personas con discapacidad</t>
  </si>
  <si>
    <t>Condiciones meteorológica y del agua
Crecientes, inundaciones de fuentes hídricas (ríos, quebradas)</t>
  </si>
  <si>
    <t>Consumo de sustancias alucinógenas o bebidas alcohólicas</t>
  </si>
  <si>
    <t>Mendicidad</t>
  </si>
  <si>
    <t>Contraseñas compartidas a varias personas y con débil control a plataformas</t>
  </si>
  <si>
    <t>Amenazas de origen natural, o antrópicas que pueden materializarse durante la actividad.</t>
  </si>
  <si>
    <t>Inconvenientes con proveedores</t>
  </si>
  <si>
    <t>Estado o trazabilidad de materias primas</t>
  </si>
  <si>
    <t>Exceso de confianza</t>
  </si>
  <si>
    <t>Estado EPP y equipos de rescate o seguridad</t>
  </si>
  <si>
    <t>Adecuación de infraestructura para accesibilidad</t>
  </si>
  <si>
    <t>Cambio climático</t>
  </si>
  <si>
    <t>Reacciones Alérgicas</t>
  </si>
  <si>
    <t>Desempleo</t>
  </si>
  <si>
    <r>
      <rPr>
        <rFont val="Arial, sans-serif"/>
        <b/>
        <color rgb="FF000000"/>
        <sz val="11.0"/>
      </rPr>
      <t>Actividades de aventura acuática</t>
    </r>
    <r>
      <rPr>
        <rFont val="Arial, sans-serif"/>
        <color rgb="FF000000"/>
        <sz val="11.0"/>
      </rPr>
      <t xml:space="preserve">
Lesiones físicas
Falta de habilidad o entrenamiento
Falta de Supervisión o Guías Expertos
Riesgos Asociados con la Vida Silvestre
Equipamiento Defectuoso o Inadecuado
Comportamientos inadecuados en la actividad de aventura</t>
    </r>
  </si>
  <si>
    <t>Contaminación intencional de producto</t>
  </si>
  <si>
    <t>Estado psicológico</t>
  </si>
  <si>
    <t>Pérdida de la biodiversidad</t>
  </si>
  <si>
    <t>Deshidratación por altas temperaturas de Calor</t>
  </si>
  <si>
    <t>⁠Falta de apoyo e irrespeto a Grupos LGTB, indígenas / grupos étnicos</t>
  </si>
  <si>
    <r>
      <rPr>
        <rFont val="Arial, sans-serif"/>
        <b/>
        <color rgb="FF000000"/>
        <sz val="11.0"/>
      </rPr>
      <t>Actividades de aventura terrestre</t>
    </r>
    <r>
      <rPr>
        <rFont val="Arial, sans-serif"/>
        <color rgb="FF000000"/>
        <sz val="11.0"/>
      </rPr>
      <t xml:space="preserve">
Lesiones físicas
Falta de habilidad o entrenamiento
Falta de Supervisión o Guías Expertos
Riesgos Asociados con la Vida Silvestre
Equipamiento Defectuoso o Inadecuado
Caída de rocas
Esfuerzos físicos excesivos
Terrenos Resbaladizos o Inestables
Pérdida o Desorientación
Desprendimientos de Rocas</t>
    </r>
  </si>
  <si>
    <t>Generación residuos orgánicos</t>
  </si>
  <si>
    <t>Distractores o estímulos externos</t>
  </si>
  <si>
    <t>Término de prestación del servicio de manera anticipada con el gestor autorizado para la disposición final de los residuos</t>
  </si>
  <si>
    <t>Hipotermia</t>
  </si>
  <si>
    <r>
      <rPr>
        <rFont val="Arial, sans-serif"/>
        <b/>
        <color rgb="FF000000"/>
        <sz val="11.0"/>
      </rPr>
      <t>Actividades de aventura áreas</t>
    </r>
    <r>
      <rPr>
        <rFont val="Arial, sans-serif"/>
        <color rgb="FF000000"/>
        <sz val="11.0"/>
      </rPr>
      <t xml:space="preserve">
Condiciones Meteorológicas Adversas (Vientos Fuertes o Ráfagas, Tormentas y Rayos, Visibilidad Reducida, entre otros)
Falta de habilidad o entrenamiento
Falta de Supervisión o Guías Expertos
Equipamiento Defectuoso o Inadecuado (Fallo del Paracaídas o Ala Delta, Defectos en el Equipo de Seguridad o Mantenimiento Inadecuado)
Esfuerzos físicos excesivos
Pérdida o Desorientación</t>
    </r>
  </si>
  <si>
    <t>Perfil del personal que manipula alimentos</t>
  </si>
  <si>
    <t>Factor mecánico:</t>
  </si>
  <si>
    <t>Cierre de los rellenos sanitarios</t>
  </si>
  <si>
    <t>Perdida de la cadena de frío de los alimentos</t>
  </si>
  <si>
    <t>Mal estado del vehículo</t>
  </si>
  <si>
    <t>Terminación de permisos o concesiones ambientales (si aplica)</t>
  </si>
  <si>
    <t>Falta de mantenimientos preventivos</t>
  </si>
  <si>
    <t>Riesgo Gastronómico</t>
  </si>
  <si>
    <t>Falta de revisiones pre operacionales</t>
  </si>
  <si>
    <t>⁠tormentas eléctricas , granizados, vientos , vendavales</t>
  </si>
  <si>
    <t>Desconocimiento del vehículo y sus dispositivos de seguridad</t>
  </si>
  <si>
    <t>Interrupciones en la cadena de suministro</t>
  </si>
  <si>
    <t>Disponibilidad y calidad de los alimentos</t>
  </si>
  <si>
    <t>Condiciones físicas de la vía como baches, rugosidad y derrumbes</t>
  </si>
  <si>
    <t>Contaminación Biológica (bacterias y virus hasta parásitos)</t>
  </si>
  <si>
    <t>Geometría y topografía de la vía: curvas pronunciadas</t>
  </si>
  <si>
    <t>Contaminación Química (que puede provenir de pesticidas, herbicidas, fertilizantes y productos químicos industriales)</t>
  </si>
  <si>
    <t>Señalización de la vía</t>
  </si>
  <si>
    <t>Fenómeno del niño</t>
  </si>
  <si>
    <t>Presencia de semovientes y obstáculos en la vía</t>
  </si>
  <si>
    <t>Fenómeno de la niña</t>
  </si>
  <si>
    <t>Características singulares de la vía: cruces, sectores poblados, estaciones de servicios o de mecánica básica</t>
  </si>
  <si>
    <t>Desbordes de caudales de ríos o quebradas</t>
  </si>
  <si>
    <t>Desconocimiento del territorio en el que se dan los desplazamientos</t>
  </si>
  <si>
    <t>Pérdidas agrícolas por sequías o inundaciones</t>
  </si>
  <si>
    <t>⁠Incendios forestales</t>
  </si>
  <si>
    <t>Inundaciones</t>
  </si>
  <si>
    <t>Derrumbes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</si>
</sst>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7">
    <font>
      <sz val="11.0"/>
      <color theme="1"/>
      <name val="Calibri"/>
      <scheme val="minor"/>
    </font>
    <font>
      <b/>
      <sz val="10.0"/>
      <color theme="1"/>
      <name val="Arial"/>
    </font>
    <font/>
    <font>
      <b/>
      <sz val="12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b/>
      <sz val="10.0"/>
      <color rgb="FF000000"/>
      <name val="Arial"/>
    </font>
    <font>
      <b/>
      <sz val="10.0"/>
      <color rgb="FFC55A11"/>
      <name val="Arial"/>
    </font>
    <font>
      <sz val="10.0"/>
      <color rgb="FF000000"/>
      <name val="Arial"/>
    </font>
    <font>
      <b/>
      <sz val="10.0"/>
      <color rgb="FFFFFFFF"/>
      <name val="Arial"/>
    </font>
    <font>
      <sz val="10.0"/>
      <color rgb="FFFFFFFF"/>
      <name val="Arial"/>
    </font>
    <font>
      <sz val="10.0"/>
      <color theme="0"/>
      <name val="Arial"/>
    </font>
    <font>
      <sz val="12.0"/>
      <color theme="1"/>
      <name val="Calibri"/>
    </font>
    <font>
      <sz val="11.0"/>
      <color theme="1"/>
      <name val="Calibri"/>
    </font>
    <font>
      <sz val="11.0"/>
      <color theme="1"/>
      <name val="Verdana"/>
    </font>
    <font>
      <b/>
      <sz val="11.0"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C6D9F1"/>
        <bgColor rgb="FFC6D9F1"/>
      </patternFill>
    </fill>
    <fill>
      <patternFill patternType="solid">
        <fgColor rgb="FFA5A5A5"/>
        <bgColor rgb="FFA5A5A5"/>
      </patternFill>
    </fill>
    <fill>
      <patternFill patternType="solid">
        <fgColor rgb="FFD99594"/>
        <bgColor rgb="FFD99594"/>
      </patternFill>
    </fill>
    <fill>
      <patternFill patternType="solid">
        <fgColor theme="7"/>
        <bgColor theme="7"/>
      </patternFill>
    </fill>
    <fill>
      <patternFill patternType="solid">
        <fgColor rgb="FFD8D8D8"/>
        <bgColor rgb="FFD8D8D8"/>
      </patternFill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C0504D"/>
        <bgColor rgb="FFC0504D"/>
      </patternFill>
    </fill>
    <fill>
      <patternFill patternType="solid">
        <fgColor rgb="FFE5DFEC"/>
        <bgColor rgb="FFE5DFEC"/>
      </patternFill>
    </fill>
    <fill>
      <patternFill patternType="solid">
        <fgColor rgb="FFA3D74E"/>
        <bgColor rgb="FFA3D74E"/>
      </patternFill>
    </fill>
    <fill>
      <patternFill patternType="solid">
        <fgColor rgb="FF6EC76A"/>
        <bgColor rgb="FF6EC76A"/>
      </patternFill>
    </fill>
    <fill>
      <patternFill patternType="solid">
        <fgColor rgb="FF0CA856"/>
        <bgColor rgb="FF0CA856"/>
      </patternFill>
    </fill>
    <fill>
      <patternFill patternType="solid">
        <fgColor rgb="FFCAE749"/>
        <bgColor rgb="FFCAE749"/>
      </patternFill>
    </fill>
    <fill>
      <patternFill patternType="solid">
        <fgColor rgb="FFE8D0D0"/>
        <bgColor rgb="FFE8D0D0"/>
      </patternFill>
    </fill>
    <fill>
      <patternFill patternType="solid">
        <fgColor rgb="FFF4E9E9"/>
        <bgColor rgb="FFF4E9E9"/>
      </patternFill>
    </fill>
    <fill>
      <patternFill patternType="solid">
        <fgColor rgb="FFFEE706"/>
        <bgColor rgb="FFFEE706"/>
      </patternFill>
    </fill>
    <fill>
      <patternFill patternType="solid">
        <fgColor rgb="FFFFB101"/>
        <bgColor rgb="FFFFB101"/>
      </patternFill>
    </fill>
    <fill>
      <patternFill patternType="solid">
        <fgColor rgb="FFFF5901"/>
        <bgColor rgb="FFFF5901"/>
      </patternFill>
    </fill>
    <fill>
      <patternFill patternType="solid">
        <fgColor rgb="FFFC0B0F"/>
        <bgColor rgb="FFFC0B0F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6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top/>
      <bottom style="medium">
        <color rgb="FFFFFFFF"/>
      </bottom>
    </border>
    <border>
      <top/>
      <bottom style="medium">
        <color rgb="FFFFFFFF"/>
      </bottom>
    </border>
    <border>
      <right/>
      <top/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FFFFFF"/>
      </left>
      <top style="medium">
        <color rgb="FFFFFFFF"/>
      </top>
      <bottom style="thick">
        <color rgb="FFFFFFFF"/>
      </bottom>
    </border>
    <border>
      <right style="medium">
        <color rgb="FFFFFFFF"/>
      </right>
      <top style="medium">
        <color rgb="FFFFFFFF"/>
      </top>
      <bottom style="thick">
        <color rgb="FFFFFFFF"/>
      </bottom>
    </border>
    <border>
      <bottom style="thin">
        <color rgb="FFBFBFBF"/>
      </bottom>
    </border>
    <border>
      <left/>
      <right/>
      <top/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/>
      <right/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bottom/>
    </border>
    <border>
      <left style="medium">
        <color rgb="FF000000"/>
      </left>
      <top style="medium">
        <color rgb="FF000000"/>
      </top>
    </border>
    <border>
      <left style="thin">
        <color rgb="FFBFBFBF"/>
      </left>
      <right style="thin">
        <color rgb="FFBFBFBF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/>
      <top/>
      <bottom style="thick">
        <color rgb="FFFFFFFF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/>
      <right/>
      <top style="thick">
        <color rgb="FFFFFFFF"/>
      </top>
      <bottom style="medium">
        <color rgb="FFFFFFFF"/>
      </bottom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</border>
    <border>
      <left/>
      <right/>
      <top style="medium">
        <color rgb="FFFFFFFF"/>
      </top>
      <bottom style="medium">
        <color rgb="FFFFFFFF"/>
      </bottom>
    </border>
    <border>
      <left style="medium">
        <color rgb="FF000000"/>
      </left>
      <right/>
      <top style="thin">
        <color rgb="FFBFBFBF"/>
      </top>
      <bottom/>
    </border>
    <border>
      <left/>
      <right/>
      <top style="medium">
        <color rgb="FFFFFFFF"/>
      </top>
      <bottom/>
    </border>
    <border>
      <left style="medium">
        <color rgb="FF000000"/>
      </left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thin">
        <color rgb="FFBFBFBF"/>
      </top>
      <bottom style="medium">
        <color rgb="FF000000"/>
      </bottom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4" fillId="0" fontId="2" numFmtId="0" xfId="0" applyBorder="1" applyFont="1"/>
    <xf borderId="5" fillId="0" fontId="1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3" numFmtId="0" xfId="0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1" numFmtId="0" xfId="0" applyAlignment="1" applyFont="1">
      <alignment shrinkToFit="0" vertical="center" wrapText="1"/>
    </xf>
    <xf borderId="0" fillId="0" fontId="4" numFmtId="0" xfId="0" applyFont="1"/>
    <xf borderId="5" fillId="2" fontId="1" numFmtId="0" xfId="0" applyAlignment="1" applyBorder="1" applyFill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horizontal="center" textRotation="90" vertical="center"/>
    </xf>
    <xf borderId="16" fillId="2" fontId="1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6" fillId="0" fontId="5" numFmtId="164" xfId="0" applyAlignment="1" applyBorder="1" applyFont="1" applyNumberFormat="1">
      <alignment horizontal="center" vertical="center"/>
    </xf>
    <xf borderId="16" fillId="0" fontId="5" numFmtId="164" xfId="0" applyAlignment="1" applyBorder="1" applyFont="1" applyNumberForma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left" shrinkToFit="0" vertical="center" wrapText="1"/>
    </xf>
    <xf borderId="7" fillId="0" fontId="5" numFmtId="164" xfId="0" applyAlignment="1" applyBorder="1" applyFont="1" applyNumberForma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vertical="center"/>
    </xf>
    <xf borderId="16" fillId="0" fontId="5" numFmtId="0" xfId="0" applyBorder="1" applyFont="1"/>
    <xf borderId="9" fillId="0" fontId="5" numFmtId="0" xfId="0" applyAlignment="1" applyBorder="1" applyFont="1">
      <alignment horizontal="center" shrinkToFit="0" vertical="center" wrapText="1"/>
    </xf>
    <xf borderId="10" fillId="0" fontId="5" numFmtId="164" xfId="0" applyAlignment="1" applyBorder="1" applyFont="1" applyNumberFormat="1">
      <alignment horizontal="center" shrinkToFit="0" vertical="center" wrapText="1"/>
    </xf>
    <xf borderId="10" fillId="0" fontId="5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0" fillId="0" fontId="5" numFmtId="0" xfId="0" applyFont="1"/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5" fillId="0" fontId="7" numFmtId="0" xfId="0" applyBorder="1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18" fillId="3" fontId="1" numFmtId="0" xfId="0" applyAlignment="1" applyBorder="1" applyFill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18" fillId="4" fontId="1" numFmtId="0" xfId="0" applyAlignment="1" applyBorder="1" applyFill="1" applyFont="1">
      <alignment horizontal="center" shrinkToFit="0" vertical="center" wrapText="1"/>
    </xf>
    <xf borderId="18" fillId="5" fontId="1" numFmtId="0" xfId="0" applyAlignment="1" applyBorder="1" applyFill="1" applyFont="1">
      <alignment horizontal="center" shrinkToFit="0" vertical="center" wrapText="1"/>
    </xf>
    <xf borderId="21" fillId="6" fontId="7" numFmtId="0" xfId="0" applyAlignment="1" applyBorder="1" applyFill="1" applyFont="1">
      <alignment horizontal="center" readingOrder="1" shrinkToFit="0" vertical="center" wrapText="1"/>
    </xf>
    <xf borderId="21" fillId="7" fontId="7" numFmtId="0" xfId="0" applyAlignment="1" applyBorder="1" applyFill="1" applyFont="1">
      <alignment horizontal="center" readingOrder="1" shrinkToFit="0" vertical="center" wrapText="1"/>
    </xf>
    <xf borderId="21" fillId="8" fontId="7" numFmtId="0" xfId="0" applyAlignment="1" applyBorder="1" applyFill="1" applyFont="1">
      <alignment horizontal="center" readingOrder="1" shrinkToFit="0" vertical="center" wrapText="1"/>
    </xf>
    <xf borderId="22" fillId="6" fontId="7" numFmtId="0" xfId="0" applyAlignment="1" applyBorder="1" applyFont="1">
      <alignment horizontal="center" readingOrder="1" shrinkToFit="0" vertical="center" wrapText="1"/>
    </xf>
    <xf borderId="22" fillId="6" fontId="8" numFmtId="0" xfId="0" applyAlignment="1" applyBorder="1" applyFont="1">
      <alignment horizontal="center" readingOrder="1" shrinkToFit="0" vertical="center" wrapText="1"/>
    </xf>
    <xf borderId="22" fillId="6" fontId="9" numFmtId="0" xfId="0" applyAlignment="1" applyBorder="1" applyFont="1">
      <alignment horizontal="center" readingOrder="1" shrinkToFit="0" vertical="center" wrapText="1"/>
    </xf>
    <xf borderId="22" fillId="7" fontId="7" numFmtId="0" xfId="0" applyAlignment="1" applyBorder="1" applyFont="1">
      <alignment horizontal="center" readingOrder="1" shrinkToFit="0" vertical="center" wrapText="1"/>
    </xf>
    <xf borderId="22" fillId="7" fontId="8" numFmtId="0" xfId="0" applyAlignment="1" applyBorder="1" applyFont="1">
      <alignment horizontal="center" readingOrder="1" shrinkToFit="0" vertical="center" wrapText="1"/>
    </xf>
    <xf borderId="22" fillId="7" fontId="9" numFmtId="0" xfId="0" applyAlignment="1" applyBorder="1" applyFont="1">
      <alignment horizontal="left" readingOrder="1" shrinkToFit="0" vertical="center" wrapText="1"/>
    </xf>
    <xf borderId="22" fillId="8" fontId="7" numFmtId="0" xfId="0" applyAlignment="1" applyBorder="1" applyFont="1">
      <alignment horizontal="center" readingOrder="1" shrinkToFit="0" vertical="center" wrapText="1"/>
    </xf>
    <xf borderId="22" fillId="8" fontId="8" numFmtId="0" xfId="0" applyAlignment="1" applyBorder="1" applyFont="1">
      <alignment horizontal="center" readingOrder="1" shrinkToFit="0" vertical="center" wrapText="1"/>
    </xf>
    <xf borderId="22" fillId="8" fontId="9" numFmtId="0" xfId="0" applyAlignment="1" applyBorder="1" applyFont="1">
      <alignment horizontal="left" readingOrder="1" shrinkToFit="0" vertical="center" wrapText="1"/>
    </xf>
    <xf borderId="23" fillId="6" fontId="7" numFmtId="0" xfId="0" applyAlignment="1" applyBorder="1" applyFont="1">
      <alignment horizontal="center" readingOrder="1" shrinkToFit="0" vertical="center" wrapText="1"/>
    </xf>
    <xf borderId="23" fillId="6" fontId="8" numFmtId="0" xfId="0" applyAlignment="1" applyBorder="1" applyFont="1">
      <alignment horizontal="center" readingOrder="1" shrinkToFit="0" vertical="center" wrapText="1"/>
    </xf>
    <xf borderId="23" fillId="6" fontId="9" numFmtId="0" xfId="0" applyAlignment="1" applyBorder="1" applyFont="1">
      <alignment horizontal="center" readingOrder="1" shrinkToFit="0" vertical="center" wrapText="1"/>
    </xf>
    <xf borderId="23" fillId="7" fontId="7" numFmtId="0" xfId="0" applyAlignment="1" applyBorder="1" applyFont="1">
      <alignment horizontal="center" readingOrder="1" shrinkToFit="0" vertical="center" wrapText="1"/>
    </xf>
    <xf borderId="23" fillId="7" fontId="8" numFmtId="0" xfId="0" applyAlignment="1" applyBorder="1" applyFont="1">
      <alignment horizontal="center" readingOrder="1" shrinkToFit="0" vertical="center" wrapText="1"/>
    </xf>
    <xf borderId="23" fillId="7" fontId="9" numFmtId="0" xfId="0" applyAlignment="1" applyBorder="1" applyFont="1">
      <alignment horizontal="left" readingOrder="1" shrinkToFit="0" vertical="center" wrapText="1"/>
    </xf>
    <xf borderId="23" fillId="8" fontId="7" numFmtId="0" xfId="0" applyAlignment="1" applyBorder="1" applyFont="1">
      <alignment horizontal="center" readingOrder="1" shrinkToFit="0" vertical="center" wrapText="1"/>
    </xf>
    <xf borderId="23" fillId="8" fontId="8" numFmtId="0" xfId="0" applyAlignment="1" applyBorder="1" applyFont="1">
      <alignment horizontal="center" readingOrder="1" shrinkToFit="0" vertical="center" wrapText="1"/>
    </xf>
    <xf borderId="23" fillId="8" fontId="9" numFmtId="0" xfId="0" applyAlignment="1" applyBorder="1" applyFont="1">
      <alignment horizontal="left" readingOrder="1" shrinkToFit="0" vertical="center" wrapText="1"/>
    </xf>
    <xf borderId="24" fillId="3" fontId="1" numFmtId="0" xfId="0" applyAlignment="1" applyBorder="1" applyFont="1">
      <alignment horizontal="center"/>
    </xf>
    <xf borderId="25" fillId="0" fontId="2" numFmtId="0" xfId="0" applyBorder="1" applyFont="1"/>
    <xf borderId="26" fillId="0" fontId="2" numFmtId="0" xfId="0" applyBorder="1" applyFont="1"/>
    <xf borderId="0" fillId="0" fontId="9" numFmtId="0" xfId="0" applyAlignment="1" applyFont="1">
      <alignment shrinkToFit="0" wrapText="1"/>
    </xf>
    <xf borderId="24" fillId="9" fontId="10" numFmtId="0" xfId="0" applyAlignment="1" applyBorder="1" applyFill="1" applyFont="1">
      <alignment horizontal="center" readingOrder="1" shrinkToFit="0" vertical="center" wrapText="1"/>
    </xf>
    <xf borderId="0" fillId="0" fontId="11" numFmtId="0" xfId="0" applyAlignment="1" applyFont="1">
      <alignment shrinkToFit="0" wrapText="1"/>
    </xf>
    <xf borderId="27" fillId="5" fontId="10" numFmtId="0" xfId="0" applyAlignment="1" applyBorder="1" applyFont="1">
      <alignment horizontal="center" readingOrder="1" shrinkToFit="0" vertical="center" wrapText="1"/>
    </xf>
    <xf borderId="28" fillId="0" fontId="2" numFmtId="0" xfId="0" applyBorder="1" applyFont="1"/>
    <xf borderId="0" fillId="0" fontId="9" numFmtId="0" xfId="0" applyAlignment="1" applyFont="1">
      <alignment horizontal="center" readingOrder="1" shrinkToFit="0" vertical="center" wrapText="1"/>
    </xf>
    <xf borderId="29" fillId="0" fontId="9" numFmtId="0" xfId="0" applyAlignment="1" applyBorder="1" applyFont="1">
      <alignment horizontal="center" readingOrder="1" shrinkToFit="0" wrapText="1"/>
    </xf>
    <xf borderId="29" fillId="0" fontId="9" numFmtId="0" xfId="0" applyAlignment="1" applyBorder="1" applyFont="1">
      <alignment shrinkToFit="0" wrapText="1"/>
    </xf>
    <xf borderId="23" fillId="10" fontId="9" numFmtId="0" xfId="0" applyAlignment="1" applyBorder="1" applyFill="1" applyFont="1">
      <alignment horizontal="center" readingOrder="1" shrinkToFit="0" vertical="center" wrapText="1"/>
    </xf>
    <xf borderId="30" fillId="9" fontId="10" numFmtId="0" xfId="0" applyAlignment="1" applyBorder="1" applyFont="1">
      <alignment horizontal="center" readingOrder="1" shrinkToFit="0" textRotation="90" vertical="center" wrapText="1"/>
    </xf>
    <xf borderId="31" fillId="0" fontId="9" numFmtId="0" xfId="0" applyAlignment="1" applyBorder="1" applyFont="1">
      <alignment horizontal="center" readingOrder="1" shrinkToFit="0" vertical="center" wrapText="1"/>
    </xf>
    <xf borderId="32" fillId="11" fontId="9" numFmtId="0" xfId="0" applyAlignment="1" applyBorder="1" applyFill="1" applyFont="1">
      <alignment horizontal="center" readingOrder="1" shrinkToFit="0" vertical="center" wrapText="1"/>
    </xf>
    <xf borderId="32" fillId="12" fontId="9" numFmtId="0" xfId="0" applyAlignment="1" applyBorder="1" applyFill="1" applyFont="1">
      <alignment horizontal="center" readingOrder="1" shrinkToFit="0" vertical="center" wrapText="1"/>
    </xf>
    <xf borderId="32" fillId="13" fontId="9" numFmtId="0" xfId="0" applyAlignment="1" applyBorder="1" applyFill="1" applyFont="1">
      <alignment horizontal="center" readingOrder="1" shrinkToFit="0" vertical="center" wrapText="1"/>
    </xf>
    <xf borderId="33" fillId="8" fontId="7" numFmtId="0" xfId="0" applyAlignment="1" applyBorder="1" applyFont="1">
      <alignment horizontal="center" readingOrder="1" shrinkToFit="0" textRotation="90" vertical="center" wrapText="1"/>
    </xf>
    <xf borderId="23" fillId="8" fontId="9" numFmtId="0" xfId="0" applyAlignment="1" applyBorder="1" applyFont="1">
      <alignment horizontal="center" readingOrder="1" shrinkToFit="0" vertical="center" wrapText="1"/>
    </xf>
    <xf borderId="34" fillId="0" fontId="2" numFmtId="0" xfId="0" applyBorder="1" applyFont="1"/>
    <xf borderId="31" fillId="0" fontId="2" numFmtId="0" xfId="0" applyBorder="1" applyFont="1"/>
    <xf borderId="35" fillId="11" fontId="9" numFmtId="0" xfId="0" applyAlignment="1" applyBorder="1" applyFont="1">
      <alignment horizontal="center" readingOrder="1" shrinkToFit="0" vertical="center" wrapText="1"/>
    </xf>
    <xf borderId="35" fillId="12" fontId="9" numFmtId="0" xfId="0" applyAlignment="1" applyBorder="1" applyFont="1">
      <alignment horizontal="center" readingOrder="1" shrinkToFit="0" vertical="center" wrapText="1"/>
    </xf>
    <xf borderId="35" fillId="13" fontId="9" numFmtId="0" xfId="0" applyAlignment="1" applyBorder="1" applyFont="1">
      <alignment horizontal="center" readingOrder="1" shrinkToFit="0" vertical="center" wrapText="1"/>
    </xf>
    <xf borderId="36" fillId="0" fontId="2" numFmtId="0" xfId="0" applyBorder="1" applyFont="1"/>
    <xf borderId="32" fillId="14" fontId="9" numFmtId="0" xfId="0" applyAlignment="1" applyBorder="1" applyFill="1" applyFont="1">
      <alignment horizontal="center" readingOrder="1" shrinkToFit="0" vertical="center" wrapText="1"/>
    </xf>
    <xf borderId="35" fillId="14" fontId="9" numFmtId="0" xfId="0" applyAlignment="1" applyBorder="1" applyFont="1">
      <alignment horizontal="center" readingOrder="1" shrinkToFit="0" vertical="center" wrapText="1"/>
    </xf>
    <xf borderId="27" fillId="9" fontId="10" numFmtId="0" xfId="0" applyAlignment="1" applyBorder="1" applyFont="1">
      <alignment horizontal="center" readingOrder="1" shrinkToFit="0" vertical="center" wrapText="1"/>
    </xf>
    <xf borderId="22" fillId="15" fontId="7" numFmtId="0" xfId="0" applyAlignment="1" applyBorder="1" applyFill="1" applyFont="1">
      <alignment horizontal="center" readingOrder="1" shrinkToFit="0" vertical="center" wrapText="1"/>
    </xf>
    <xf borderId="23" fillId="16" fontId="9" numFmtId="0" xfId="0" applyAlignment="1" applyBorder="1" applyFill="1" applyFont="1">
      <alignment horizontal="center" readingOrder="1" shrinkToFit="0" vertical="center" wrapText="1"/>
    </xf>
    <xf borderId="23" fillId="15" fontId="9" numFmtId="0" xfId="0" applyAlignment="1" applyBorder="1" applyFont="1">
      <alignment horizontal="center" readingOrder="1" shrinkToFit="0" vertical="center" wrapText="1"/>
    </xf>
    <xf borderId="37" fillId="0" fontId="2" numFmtId="0" xfId="0" applyBorder="1" applyFont="1"/>
    <xf borderId="32" fillId="17" fontId="9" numFmtId="0" xfId="0" applyAlignment="1" applyBorder="1" applyFill="1" applyFont="1">
      <alignment horizontal="center" readingOrder="1" shrinkToFit="0" vertical="center" wrapText="1"/>
    </xf>
    <xf borderId="32" fillId="18" fontId="9" numFmtId="0" xfId="0" applyAlignment="1" applyBorder="1" applyFill="1" applyFont="1">
      <alignment horizontal="center" readingOrder="1" shrinkToFit="0" vertical="center" wrapText="1"/>
    </xf>
    <xf borderId="33" fillId="7" fontId="7" numFmtId="0" xfId="0" applyAlignment="1" applyBorder="1" applyFont="1">
      <alignment horizontal="center" readingOrder="1" shrinkToFit="0" textRotation="90" vertical="center" wrapText="1"/>
    </xf>
    <xf borderId="35" fillId="17" fontId="9" numFmtId="0" xfId="0" applyAlignment="1" applyBorder="1" applyFont="1">
      <alignment horizontal="center" readingOrder="1" shrinkToFit="0" vertical="center" wrapText="1"/>
    </xf>
    <xf borderId="35" fillId="18" fontId="9" numFmtId="0" xfId="0" applyAlignment="1" applyBorder="1" applyFont="1">
      <alignment horizontal="center" readingOrder="1" shrinkToFit="0" vertical="center" wrapText="1"/>
    </xf>
    <xf borderId="32" fillId="19" fontId="9" numFmtId="0" xfId="0" applyAlignment="1" applyBorder="1" applyFill="1" applyFont="1">
      <alignment horizontal="center" readingOrder="1" shrinkToFit="0" vertical="center" wrapText="1"/>
    </xf>
    <xf borderId="35" fillId="19" fontId="9" numFmtId="0" xfId="0" applyAlignment="1" applyBorder="1" applyFont="1">
      <alignment horizontal="center" readingOrder="1" shrinkToFit="0" vertical="center" wrapText="1"/>
    </xf>
    <xf borderId="32" fillId="20" fontId="9" numFmtId="0" xfId="0" applyAlignment="1" applyBorder="1" applyFill="1" applyFont="1">
      <alignment horizontal="center" readingOrder="1" shrinkToFit="0" vertical="center" wrapText="1"/>
    </xf>
    <xf borderId="35" fillId="20" fontId="9" numFmtId="0" xfId="0" applyAlignment="1" applyBorder="1" applyFont="1">
      <alignment horizontal="center" readingOrder="1" shrinkToFit="0" vertical="center" wrapText="1"/>
    </xf>
    <xf borderId="38" fillId="0" fontId="2" numFmtId="0" xfId="0" applyBorder="1" applyFont="1"/>
    <xf borderId="39" fillId="0" fontId="5" numFmtId="0" xfId="0" applyAlignment="1" applyBorder="1" applyFont="1">
      <alignment horizontal="center" vertical="center"/>
    </xf>
    <xf borderId="40" fillId="20" fontId="9" numFmtId="0" xfId="0" applyAlignment="1" applyBorder="1" applyFont="1">
      <alignment horizontal="center" readingOrder="1" shrinkToFit="0" vertical="center" wrapText="1"/>
    </xf>
    <xf borderId="41" fillId="0" fontId="5" numFmtId="0" xfId="0" applyAlignment="1" applyBorder="1" applyFont="1">
      <alignment horizontal="center" vertical="center"/>
    </xf>
    <xf borderId="42" fillId="9" fontId="7" numFmtId="0" xfId="0" applyAlignment="1" applyBorder="1" applyFont="1">
      <alignment horizontal="center" readingOrder="1" shrinkToFit="0" vertical="center" wrapText="1"/>
    </xf>
    <xf borderId="42" fillId="5" fontId="7" numFmtId="0" xfId="0" applyAlignment="1" applyBorder="1" applyFont="1">
      <alignment horizontal="center" readingOrder="1" shrinkToFit="0" vertical="center" wrapText="1"/>
    </xf>
    <xf borderId="43" fillId="21" fontId="12" numFmtId="0" xfId="0" applyAlignment="1" applyBorder="1" applyFill="1" applyFont="1">
      <alignment horizontal="center" vertical="center"/>
    </xf>
    <xf borderId="44" fillId="21" fontId="12" numFmtId="0" xfId="0" applyAlignment="1" applyBorder="1" applyFont="1">
      <alignment horizontal="center" vertical="center"/>
    </xf>
    <xf borderId="45" fillId="0" fontId="5" numFmtId="0" xfId="0" applyAlignment="1" applyBorder="1" applyFont="1">
      <alignment horizontal="center" vertical="center"/>
    </xf>
    <xf borderId="46" fillId="0" fontId="5" numFmtId="0" xfId="0" applyAlignment="1" applyBorder="1" applyFont="1">
      <alignment horizontal="center" vertical="center"/>
    </xf>
    <xf borderId="47" fillId="15" fontId="7" numFmtId="0" xfId="0" applyAlignment="1" applyBorder="1" applyFont="1">
      <alignment horizontal="center" readingOrder="1" shrinkToFit="0" vertical="center" wrapText="1"/>
    </xf>
    <xf borderId="47" fillId="8" fontId="7" numFmtId="0" xfId="0" applyAlignment="1" applyBorder="1" applyFont="1">
      <alignment horizontal="center" readingOrder="1" shrinkToFit="0" vertical="center" wrapText="1"/>
    </xf>
    <xf borderId="43" fillId="20" fontId="9" numFmtId="0" xfId="0" applyAlignment="1" applyBorder="1" applyFont="1">
      <alignment horizontal="center" readingOrder="1" shrinkToFit="0" vertical="center" wrapText="1"/>
    </xf>
    <xf borderId="48" fillId="0" fontId="5" numFmtId="0" xfId="0" applyAlignment="1" applyBorder="1" applyFont="1">
      <alignment horizontal="center"/>
    </xf>
    <xf borderId="49" fillId="16" fontId="7" numFmtId="0" xfId="0" applyAlignment="1" applyBorder="1" applyFont="1">
      <alignment horizontal="center" readingOrder="1" shrinkToFit="0" vertical="center" wrapText="1"/>
    </xf>
    <xf borderId="49" fillId="10" fontId="7" numFmtId="0" xfId="0" applyAlignment="1" applyBorder="1" applyFont="1">
      <alignment horizontal="center" readingOrder="1" shrinkToFit="0" vertical="center" wrapText="1"/>
    </xf>
    <xf borderId="50" fillId="20" fontId="9" numFmtId="0" xfId="0" applyAlignment="1" applyBorder="1" applyFont="1">
      <alignment horizontal="center" readingOrder="1" shrinkToFit="0" vertical="center" wrapText="1"/>
    </xf>
    <xf borderId="49" fillId="15" fontId="7" numFmtId="0" xfId="0" applyAlignment="1" applyBorder="1" applyFont="1">
      <alignment horizontal="center" readingOrder="1" shrinkToFit="0" vertical="center" wrapText="1"/>
    </xf>
    <xf borderId="49" fillId="8" fontId="7" numFmtId="0" xfId="0" applyAlignment="1" applyBorder="1" applyFont="1">
      <alignment horizontal="center" readingOrder="1" shrinkToFit="0" vertical="center" wrapText="1"/>
    </xf>
    <xf borderId="51" fillId="15" fontId="7" numFmtId="0" xfId="0" applyAlignment="1" applyBorder="1" applyFont="1">
      <alignment horizontal="center" readingOrder="1" shrinkToFit="0" vertical="center" wrapText="1"/>
    </xf>
    <xf borderId="51" fillId="8" fontId="7" numFmtId="0" xfId="0" applyAlignment="1" applyBorder="1" applyFont="1">
      <alignment horizontal="center" readingOrder="1" shrinkToFit="0" vertical="center" wrapText="1"/>
    </xf>
    <xf borderId="50" fillId="19" fontId="9" numFmtId="0" xfId="0" applyAlignment="1" applyBorder="1" applyFont="1">
      <alignment horizontal="center" readingOrder="1" shrinkToFit="0" vertical="center" wrapText="1"/>
    </xf>
    <xf borderId="50" fillId="18" fontId="9" numFmtId="0" xfId="0" applyAlignment="1" applyBorder="1" applyFont="1">
      <alignment horizontal="center" readingOrder="1" shrinkToFit="0" vertical="center" wrapText="1"/>
    </xf>
    <xf borderId="50" fillId="17" fontId="9" numFmtId="0" xfId="0" applyAlignment="1" applyBorder="1" applyFont="1">
      <alignment horizontal="center" readingOrder="1" shrinkToFit="0" vertical="center" wrapText="1"/>
    </xf>
    <xf borderId="52" fillId="0" fontId="5" numFmtId="0" xfId="0" applyAlignment="1" applyBorder="1" applyFont="1">
      <alignment horizontal="center" vertical="center"/>
    </xf>
    <xf borderId="53" fillId="17" fontId="9" numFmtId="0" xfId="0" applyAlignment="1" applyBorder="1" applyFont="1">
      <alignment horizontal="center" readingOrder="1" shrinkToFit="0" vertical="center" wrapText="1"/>
    </xf>
    <xf borderId="54" fillId="0" fontId="5" numFmtId="0" xfId="0" applyAlignment="1" applyBorder="1" applyFont="1">
      <alignment horizontal="center" vertical="center"/>
    </xf>
    <xf borderId="40" fillId="14" fontId="9" numFmtId="0" xfId="0" applyAlignment="1" applyBorder="1" applyFont="1">
      <alignment horizontal="center" readingOrder="1" shrinkToFit="0" vertical="center" wrapText="1"/>
    </xf>
    <xf borderId="55" fillId="17" fontId="9" numFmtId="0" xfId="0" applyAlignment="1" applyBorder="1" applyFont="1">
      <alignment horizontal="center" readingOrder="1" shrinkToFit="0" vertical="center" wrapText="1"/>
    </xf>
    <xf borderId="56" fillId="0" fontId="5" numFmtId="0" xfId="0" applyAlignment="1" applyBorder="1" applyFont="1">
      <alignment horizontal="center"/>
    </xf>
    <xf borderId="43" fillId="14" fontId="9" numFmtId="0" xfId="0" applyAlignment="1" applyBorder="1" applyFont="1">
      <alignment horizontal="center" readingOrder="1" shrinkToFit="0" vertical="center" wrapText="1"/>
    </xf>
    <xf borderId="57" fillId="0" fontId="5" numFmtId="0" xfId="0" applyAlignment="1" applyBorder="1" applyFont="1">
      <alignment horizontal="center"/>
    </xf>
    <xf borderId="50" fillId="14" fontId="9" numFmtId="0" xfId="0" applyAlignment="1" applyBorder="1" applyFont="1">
      <alignment horizontal="center" readingOrder="1" shrinkToFit="0" vertical="center" wrapText="1"/>
    </xf>
    <xf borderId="58" fillId="0" fontId="5" numFmtId="0" xfId="0" applyAlignment="1" applyBorder="1" applyFont="1">
      <alignment horizontal="center"/>
    </xf>
    <xf borderId="50" fillId="11" fontId="9" numFmtId="0" xfId="0" applyAlignment="1" applyBorder="1" applyFont="1">
      <alignment horizontal="center" readingOrder="1" shrinkToFit="0" vertical="center" wrapText="1"/>
    </xf>
    <xf borderId="50" fillId="12" fontId="9" numFmtId="0" xfId="0" applyAlignment="1" applyBorder="1" applyFont="1">
      <alignment horizontal="center" readingOrder="1" shrinkToFit="0" vertical="center" wrapText="1"/>
    </xf>
    <xf borderId="50" fillId="13" fontId="9" numFmtId="0" xfId="0" applyAlignment="1" applyBorder="1" applyFont="1">
      <alignment horizontal="center" readingOrder="1" shrinkToFit="0" vertical="center" wrapText="1"/>
    </xf>
    <xf borderId="53" fillId="13" fontId="9" numFmtId="0" xfId="0" applyAlignment="1" applyBorder="1" applyFont="1">
      <alignment horizontal="center" readingOrder="1" shrinkToFit="0" vertical="center" wrapText="1"/>
    </xf>
    <xf borderId="55" fillId="13" fontId="9" numFmtId="0" xfId="0" applyAlignment="1" applyBorder="1" applyFont="1">
      <alignment horizontal="center" readingOrder="1" shrinkToFit="0" vertical="center" wrapText="1"/>
    </xf>
    <xf borderId="59" fillId="0" fontId="5" numFmtId="0" xfId="0" applyAlignment="1" applyBorder="1" applyFont="1">
      <alignment horizontal="center"/>
    </xf>
    <xf borderId="0" fillId="0" fontId="13" numFmtId="0" xfId="0" applyFont="1"/>
    <xf borderId="0" fillId="0" fontId="14" numFmtId="0" xfId="0" applyFont="1"/>
    <xf borderId="60" fillId="0" fontId="15" numFmtId="0" xfId="0" applyAlignment="1" applyBorder="1" applyFont="1">
      <alignment shrinkToFit="0" vertical="center" wrapText="1"/>
    </xf>
    <xf borderId="0" fillId="0" fontId="14" numFmtId="0" xfId="0" applyAlignment="1" applyFont="1">
      <alignment vertical="center"/>
    </xf>
    <xf borderId="60" fillId="0" fontId="5" numFmtId="0" xfId="0" applyAlignment="1" applyBorder="1" applyFont="1">
      <alignment shrinkToFit="0" wrapText="1"/>
    </xf>
    <xf borderId="1" fillId="22" fontId="1" numFmtId="0" xfId="0" applyAlignment="1" applyBorder="1" applyFill="1" applyFont="1">
      <alignment horizontal="center" shrinkToFit="0" vertical="center" wrapText="1"/>
    </xf>
    <xf borderId="1" fillId="22" fontId="1" numFmtId="0" xfId="0" applyAlignment="1" applyBorder="1" applyFont="1">
      <alignment horizontal="left" shrinkToFit="0" vertical="center" wrapText="1"/>
    </xf>
    <xf borderId="30" fillId="22" fontId="1" numFmtId="0" xfId="0" applyAlignment="1" applyBorder="1" applyFont="1">
      <alignment horizontal="center" shrinkToFit="0" vertical="center" wrapText="1"/>
    </xf>
    <xf borderId="61" fillId="22" fontId="5" numFmtId="0" xfId="0" applyBorder="1" applyFont="1"/>
    <xf borderId="61" fillId="22" fontId="14" numFmtId="0" xfId="0" applyBorder="1" applyFont="1"/>
    <xf borderId="62" fillId="0" fontId="2" numFmtId="0" xfId="0" applyBorder="1" applyFont="1"/>
    <xf borderId="63" fillId="0" fontId="2" numFmtId="0" xfId="0" applyBorder="1" applyFont="1"/>
    <xf borderId="24" fillId="22" fontId="9" numFmtId="0" xfId="0" applyAlignment="1" applyBorder="1" applyFont="1">
      <alignment horizontal="center"/>
    </xf>
    <xf borderId="3" fillId="2" fontId="9" numFmtId="0" xfId="0" applyAlignment="1" applyBorder="1" applyFont="1">
      <alignment horizontal="center"/>
    </xf>
    <xf borderId="16" fillId="2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textRotation="255" vertical="center"/>
    </xf>
    <xf borderId="16" fillId="0" fontId="16" numFmtId="0" xfId="0" applyAlignment="1" applyBorder="1" applyFont="1">
      <alignment horizontal="center" shrinkToFit="0" vertical="center" wrapText="1"/>
    </xf>
    <xf borderId="64" fillId="0" fontId="2" numFmtId="0" xfId="0" applyBorder="1" applyFont="1"/>
    <xf borderId="16" fillId="0" fontId="14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</cellXfs>
  <cellStyles count="1">
    <cellStyle xfId="0" name="Normal" builtinId="0"/>
  </cellStyles>
  <dxfs count="11">
    <dxf>
      <font/>
      <fill>
        <patternFill patternType="solid">
          <fgColor rgb="FFCCFFCC"/>
          <bgColor rgb="FFCCFFCC"/>
        </patternFill>
      </fill>
      <border/>
    </dxf>
    <dxf>
      <font/>
      <fill>
        <patternFill patternType="solid">
          <fgColor rgb="FF009900"/>
          <bgColor rgb="FF009900"/>
        </patternFill>
      </fill>
      <border/>
    </dxf>
    <dxf>
      <font/>
      <fill>
        <patternFill patternType="solid">
          <fgColor rgb="FF33CC33"/>
          <bgColor rgb="FF33CC33"/>
        </patternFill>
      </fill>
      <border/>
    </dxf>
    <dxf>
      <font/>
      <fill>
        <patternFill patternType="solid">
          <fgColor rgb="FF99FF99"/>
          <bgColor rgb="FF99FF99"/>
        </patternFill>
      </fill>
      <border/>
    </dxf>
    <dxf>
      <font/>
      <fill>
        <patternFill patternType="solid">
          <fgColor rgb="FFE36C09"/>
          <bgColor rgb="FFE36C09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/>
      <fill>
        <patternFill patternType="solid">
          <fgColor rgb="FF92CDDC"/>
          <bgColor rgb="FF92CDD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2">
    <tableStyle count="3" pivot="0" name="CRITERIOS-style">
      <tableStyleElement dxfId="8" type="headerRow"/>
      <tableStyleElement dxfId="9" type="firstRowStripe"/>
      <tableStyleElement dxfId="10" type="secondRowStripe"/>
    </tableStyle>
    <tableStyle count="3" pivot="0" name="CRITERIOS-style 2">
      <tableStyleElement dxfId="8" type="headerRow"/>
      <tableStyleElement dxfId="9" type="firstRowStripe"/>
      <tableStyleElement dxfId="1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mincitco-my.sharepoint.com/Documents%20and%20Settings/brodriguez/Configuraci&#243;n%20local/Archivos%20temporales%20de%20Internet/OLK11/MATRIZ%20ETESA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CARACTERIZACION%20ANGELA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TRIZ DE PELIGROS"/>
      <sheetName val="INSTRUCTIVO"/>
      <sheetName val="BASE"/>
      <sheetName val="GRADO1"/>
      <sheetName val="BAS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TIVO"/>
      <sheetName val="CARACTERIZACIÓN DE OFICIOS "/>
      <sheetName val="EJEMPLO"/>
      <sheetName val="Matriz de Peligro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ables/table1.xml><?xml version="1.0" encoding="utf-8"?>
<table xmlns="http://schemas.openxmlformats.org/spreadsheetml/2006/main" ref="E45:E50" displayName="Table_1" name="Table_1" id="1">
  <tableColumns count="1">
    <tableColumn name="RIESGO" id="1"/>
  </tableColumns>
  <tableStyleInfo name="CRITERIOS-style" showColumnStripes="0" showFirstColumn="1" showLastColumn="1" showRowStripes="1"/>
</table>
</file>

<file path=xl/tables/table2.xml><?xml version="1.0" encoding="utf-8"?>
<table xmlns="http://schemas.openxmlformats.org/spreadsheetml/2006/main" ref="F45:F50" displayName="Table_2" name="Table_2" id="2">
  <tableColumns count="1">
    <tableColumn name="OPORTUNIDAD" id="1"/>
  </tableColumns>
  <tableStyleInfo name="CRITERI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57"/>
    <col customWidth="1" min="2" max="2" width="12.43"/>
    <col customWidth="1" min="3" max="3" width="25.57"/>
    <col customWidth="1" min="4" max="5" width="18.43"/>
    <col customWidth="1" min="6" max="6" width="30.29"/>
    <col customWidth="1" min="7" max="7" width="34.14"/>
    <col customWidth="1" min="8" max="8" width="20.86"/>
    <col customWidth="1" min="9" max="10" width="27.57"/>
    <col customWidth="1" min="11" max="11" width="6.43"/>
    <col customWidth="1" min="12" max="12" width="5.43"/>
    <col customWidth="1" min="13" max="13" width="5.14"/>
    <col customWidth="1" min="14" max="14" width="23.57"/>
    <col customWidth="1" min="15" max="15" width="14.0"/>
    <col customWidth="1" min="16" max="16" width="24.57"/>
    <col customWidth="1" min="17" max="17" width="20.14"/>
    <col customWidth="1" min="18" max="18" width="12.43"/>
    <col customWidth="1" min="19" max="19" width="17.43"/>
    <col customWidth="1" min="20" max="20" width="28.43"/>
    <col customWidth="1" min="21" max="21" width="18.57"/>
    <col customWidth="1" min="22" max="22" width="7.57"/>
    <col customWidth="1" min="23" max="23" width="8.0"/>
    <col customWidth="1" min="24" max="24" width="29.43"/>
    <col customWidth="1" min="25" max="25" width="12.57"/>
  </cols>
  <sheetData>
    <row r="1" ht="20.2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2"/>
      <c r="V1" s="6" t="s">
        <v>3</v>
      </c>
      <c r="W1" s="7"/>
      <c r="X1" s="8"/>
      <c r="Y1" s="9"/>
      <c r="Z1" s="9"/>
      <c r="AA1" s="9"/>
      <c r="AB1" s="9"/>
      <c r="AC1" s="9"/>
    </row>
    <row r="2" ht="15.75" customHeight="1">
      <c r="A2" s="10"/>
      <c r="B2" s="11"/>
      <c r="C2" s="12"/>
      <c r="D2" s="10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1"/>
      <c r="V2" s="6" t="s">
        <v>4</v>
      </c>
      <c r="W2" s="7"/>
      <c r="X2" s="8"/>
      <c r="Y2" s="9"/>
      <c r="Z2" s="9"/>
      <c r="AA2" s="9"/>
      <c r="AB2" s="9"/>
      <c r="AC2" s="9"/>
    </row>
    <row r="3" ht="9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5"/>
      <c r="Z3" s="15"/>
      <c r="AA3" s="15"/>
      <c r="AB3" s="15"/>
      <c r="AC3" s="15"/>
    </row>
    <row r="4" ht="39.0" customHeight="1">
      <c r="A4" s="16" t="s">
        <v>5</v>
      </c>
      <c r="B4" s="7"/>
      <c r="C4" s="8"/>
      <c r="D4" s="17" t="s">
        <v>6</v>
      </c>
      <c r="E4" s="8"/>
      <c r="F4" s="14"/>
      <c r="G4" s="16" t="s">
        <v>7</v>
      </c>
      <c r="H4" s="7"/>
      <c r="I4" s="8"/>
      <c r="J4" s="17"/>
      <c r="K4" s="8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5"/>
      <c r="Z4" s="15"/>
      <c r="AA4" s="15"/>
      <c r="AB4" s="15"/>
      <c r="AC4" s="15"/>
    </row>
    <row r="5" ht="9.7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5"/>
      <c r="Z5" s="15"/>
      <c r="AA5" s="15"/>
      <c r="AB5" s="15"/>
      <c r="AC5" s="15"/>
    </row>
    <row r="6" ht="34.5" customHeight="1">
      <c r="A6" s="18" t="s">
        <v>8</v>
      </c>
      <c r="B6" s="19"/>
      <c r="C6" s="19"/>
      <c r="D6" s="19"/>
      <c r="E6" s="19"/>
      <c r="F6" s="19"/>
      <c r="G6" s="19"/>
      <c r="H6" s="19"/>
      <c r="I6" s="19"/>
      <c r="J6" s="20"/>
      <c r="K6" s="16" t="s">
        <v>9</v>
      </c>
      <c r="L6" s="7"/>
      <c r="M6" s="7"/>
      <c r="N6" s="8"/>
      <c r="O6" s="16" t="s">
        <v>10</v>
      </c>
      <c r="P6" s="7"/>
      <c r="Q6" s="7"/>
      <c r="R6" s="8"/>
      <c r="S6" s="16" t="s">
        <v>11</v>
      </c>
      <c r="T6" s="7"/>
      <c r="U6" s="7"/>
      <c r="V6" s="7"/>
      <c r="W6" s="7"/>
      <c r="X6" s="8"/>
      <c r="Y6" s="15"/>
      <c r="Z6" s="15"/>
      <c r="AA6" s="15"/>
      <c r="AB6" s="15"/>
      <c r="AC6" s="15"/>
    </row>
    <row r="7" ht="33.0" customHeight="1">
      <c r="A7" s="21" t="s">
        <v>12</v>
      </c>
      <c r="B7" s="22" t="s">
        <v>13</v>
      </c>
      <c r="C7" s="21" t="s">
        <v>14</v>
      </c>
      <c r="D7" s="21" t="s">
        <v>15</v>
      </c>
      <c r="E7" s="21" t="s">
        <v>16</v>
      </c>
      <c r="F7" s="21" t="s">
        <v>17</v>
      </c>
      <c r="G7" s="21" t="s">
        <v>18</v>
      </c>
      <c r="H7" s="21" t="s">
        <v>19</v>
      </c>
      <c r="I7" s="21" t="s">
        <v>20</v>
      </c>
      <c r="J7" s="21" t="s">
        <v>21</v>
      </c>
      <c r="K7" s="16" t="s">
        <v>22</v>
      </c>
      <c r="L7" s="7"/>
      <c r="M7" s="7"/>
      <c r="N7" s="8"/>
      <c r="O7" s="21" t="s">
        <v>23</v>
      </c>
      <c r="P7" s="21" t="s">
        <v>24</v>
      </c>
      <c r="Q7" s="21" t="s">
        <v>25</v>
      </c>
      <c r="R7" s="23" t="s">
        <v>26</v>
      </c>
      <c r="S7" s="21" t="s">
        <v>27</v>
      </c>
      <c r="T7" s="21" t="s">
        <v>28</v>
      </c>
      <c r="U7" s="21" t="s">
        <v>29</v>
      </c>
      <c r="V7" s="16" t="s">
        <v>30</v>
      </c>
      <c r="W7" s="8"/>
      <c r="X7" s="21" t="s">
        <v>31</v>
      </c>
      <c r="Y7" s="15"/>
      <c r="Z7" s="15"/>
      <c r="AA7" s="15"/>
      <c r="AB7" s="15"/>
      <c r="AC7" s="15"/>
    </row>
    <row r="8" ht="107.2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24" t="s">
        <v>32</v>
      </c>
      <c r="L8" s="24" t="s">
        <v>33</v>
      </c>
      <c r="M8" s="24" t="s">
        <v>34</v>
      </c>
      <c r="N8" s="25" t="s">
        <v>35</v>
      </c>
      <c r="O8" s="12"/>
      <c r="P8" s="12"/>
      <c r="Q8" s="12"/>
      <c r="R8" s="26"/>
      <c r="S8" s="12"/>
      <c r="T8" s="12"/>
      <c r="U8" s="12"/>
      <c r="V8" s="25" t="s">
        <v>36</v>
      </c>
      <c r="W8" s="25" t="s">
        <v>37</v>
      </c>
      <c r="X8" s="12"/>
      <c r="Y8" s="15"/>
      <c r="Z8" s="15"/>
      <c r="AA8" s="15"/>
      <c r="AB8" s="15"/>
      <c r="AC8" s="15"/>
    </row>
    <row r="9" ht="150.0" customHeight="1">
      <c r="A9" s="27"/>
      <c r="B9" s="28"/>
      <c r="C9" s="27"/>
      <c r="D9" s="29"/>
      <c r="E9" s="30"/>
      <c r="F9" s="28"/>
      <c r="G9" s="29"/>
      <c r="H9" s="29"/>
      <c r="I9" s="31"/>
      <c r="J9" s="31"/>
      <c r="K9" s="29"/>
      <c r="L9" s="29"/>
      <c r="M9" s="29">
        <f t="shared" ref="M9:M27" si="1">+K9*L9</f>
        <v>0</v>
      </c>
      <c r="N9" s="29" t="str">
        <f>VLOOKUP(M9,CRITERIOS!$A$45:$C$72,2,TRUE)</f>
        <v>BAJO</v>
      </c>
      <c r="O9" s="29" t="str">
        <f>VLOOKUP(M9,CRITERIOS!$A$45:$C$72,3,TRUE)</f>
        <v>Asumir </v>
      </c>
      <c r="P9" s="31"/>
      <c r="Q9" s="31"/>
      <c r="R9" s="32"/>
      <c r="S9" s="28"/>
      <c r="T9" s="28"/>
      <c r="U9" s="31"/>
      <c r="V9" s="29"/>
      <c r="W9" s="29"/>
      <c r="X9" s="31"/>
      <c r="Y9" s="15"/>
      <c r="Z9" s="15"/>
      <c r="AA9" s="15"/>
      <c r="AB9" s="15"/>
      <c r="AC9" s="15"/>
    </row>
    <row r="10" ht="150.0" customHeight="1">
      <c r="A10" s="27"/>
      <c r="B10" s="27"/>
      <c r="C10" s="27"/>
      <c r="D10" s="27"/>
      <c r="E10" s="28"/>
      <c r="F10" s="27"/>
      <c r="G10" s="29"/>
      <c r="H10" s="29"/>
      <c r="I10" s="31"/>
      <c r="J10" s="31"/>
      <c r="K10" s="29"/>
      <c r="L10" s="29"/>
      <c r="M10" s="29">
        <f t="shared" si="1"/>
        <v>0</v>
      </c>
      <c r="N10" s="29" t="str">
        <f>VLOOKUP(M10,CRITERIOS!$A$45:$C$72,2,TRUE)</f>
        <v>BAJO</v>
      </c>
      <c r="O10" s="29" t="str">
        <f>VLOOKUP(M10,CRITERIOS!$A$45:$C$72,3,TRUE)</f>
        <v>Asumir </v>
      </c>
      <c r="P10" s="31"/>
      <c r="Q10" s="31"/>
      <c r="R10" s="33"/>
      <c r="S10" s="28"/>
      <c r="T10" s="28"/>
      <c r="U10" s="31"/>
      <c r="V10" s="34"/>
      <c r="W10" s="35"/>
      <c r="X10" s="31"/>
      <c r="Y10" s="15"/>
      <c r="Z10" s="15"/>
      <c r="AA10" s="15"/>
      <c r="AB10" s="15"/>
      <c r="AC10" s="15"/>
    </row>
    <row r="11" ht="150.0" customHeight="1">
      <c r="A11" s="27"/>
      <c r="B11" s="27"/>
      <c r="C11" s="27"/>
      <c r="D11" s="27"/>
      <c r="E11" s="28"/>
      <c r="F11" s="27"/>
      <c r="G11" s="29"/>
      <c r="H11" s="29"/>
      <c r="I11" s="31"/>
      <c r="J11" s="31"/>
      <c r="K11" s="29"/>
      <c r="L11" s="29"/>
      <c r="M11" s="29">
        <f t="shared" si="1"/>
        <v>0</v>
      </c>
      <c r="N11" s="29" t="str">
        <f>VLOOKUP(M11,CRITERIOS!$A$45:$C$72,2,TRUE)</f>
        <v>BAJO</v>
      </c>
      <c r="O11" s="29" t="str">
        <f>VLOOKUP(M11,CRITERIOS!$A$45:$C$72,3,TRUE)</f>
        <v>Asumir </v>
      </c>
      <c r="P11" s="31"/>
      <c r="Q11" s="31"/>
      <c r="R11" s="36"/>
      <c r="S11" s="37"/>
      <c r="T11" s="37"/>
      <c r="U11" s="38"/>
      <c r="V11" s="39"/>
      <c r="W11" s="39"/>
      <c r="X11" s="38"/>
      <c r="Y11" s="15"/>
      <c r="Z11" s="15"/>
      <c r="AA11" s="15"/>
      <c r="AB11" s="15"/>
      <c r="AC11" s="15"/>
    </row>
    <row r="12" ht="150.0" customHeight="1">
      <c r="A12" s="27"/>
      <c r="B12" s="27"/>
      <c r="C12" s="27"/>
      <c r="D12" s="27"/>
      <c r="E12" s="27"/>
      <c r="F12" s="27"/>
      <c r="G12" s="29"/>
      <c r="H12" s="29"/>
      <c r="I12" s="29"/>
      <c r="J12" s="29"/>
      <c r="K12" s="29"/>
      <c r="L12" s="29"/>
      <c r="M12" s="29">
        <f t="shared" si="1"/>
        <v>0</v>
      </c>
      <c r="N12" s="29" t="str">
        <f>VLOOKUP(M12,CRITERIOS!$A$45:$C$72,2,TRUE)</f>
        <v>BAJO</v>
      </c>
      <c r="O12" s="29" t="str">
        <f>VLOOKUP(M12,CRITERIOS!$A$45:$C$72,3,TRUE)</f>
        <v>Asumir </v>
      </c>
      <c r="P12" s="31"/>
      <c r="Q12" s="31"/>
      <c r="R12" s="36"/>
      <c r="S12" s="37"/>
      <c r="T12" s="37"/>
      <c r="U12" s="39"/>
      <c r="V12" s="39"/>
      <c r="W12" s="39"/>
      <c r="X12" s="39"/>
      <c r="Y12" s="15"/>
      <c r="Z12" s="15"/>
      <c r="AA12" s="15"/>
      <c r="AB12" s="15"/>
      <c r="AC12" s="15"/>
    </row>
    <row r="13" ht="150.0" customHeight="1">
      <c r="A13" s="27"/>
      <c r="B13" s="27"/>
      <c r="C13" s="27"/>
      <c r="D13" s="27"/>
      <c r="E13" s="27"/>
      <c r="F13" s="27"/>
      <c r="G13" s="29"/>
      <c r="H13" s="29"/>
      <c r="I13" s="29"/>
      <c r="J13" s="29"/>
      <c r="K13" s="29"/>
      <c r="L13" s="29"/>
      <c r="M13" s="29">
        <f t="shared" si="1"/>
        <v>0</v>
      </c>
      <c r="N13" s="29" t="str">
        <f>VLOOKUP(M13,CRITERIOS!$A$45:$C$72,2,TRUE)</f>
        <v>BAJO</v>
      </c>
      <c r="O13" s="29" t="str">
        <f>VLOOKUP(M13,CRITERIOS!$A$45:$C$72,3,TRUE)</f>
        <v>Asumir </v>
      </c>
      <c r="P13" s="29"/>
      <c r="Q13" s="29"/>
      <c r="R13" s="36"/>
      <c r="S13" s="37"/>
      <c r="T13" s="37"/>
      <c r="U13" s="39"/>
      <c r="V13" s="39"/>
      <c r="W13" s="39"/>
      <c r="X13" s="39"/>
      <c r="Y13" s="15"/>
      <c r="Z13" s="15"/>
      <c r="AA13" s="15"/>
      <c r="AB13" s="15"/>
      <c r="AC13" s="15"/>
    </row>
    <row r="14" ht="150.0" customHeight="1">
      <c r="A14" s="27"/>
      <c r="B14" s="27"/>
      <c r="C14" s="27"/>
      <c r="D14" s="27"/>
      <c r="E14" s="27"/>
      <c r="F14" s="27"/>
      <c r="G14" s="29"/>
      <c r="H14" s="29"/>
      <c r="I14" s="29"/>
      <c r="J14" s="29"/>
      <c r="K14" s="29"/>
      <c r="L14" s="29"/>
      <c r="M14" s="29">
        <f t="shared" si="1"/>
        <v>0</v>
      </c>
      <c r="N14" s="29" t="str">
        <f>VLOOKUP(M14,CRITERIOS!$A$45:$C$72,2,TRUE)</f>
        <v>BAJO</v>
      </c>
      <c r="O14" s="29" t="str">
        <f>VLOOKUP(M14,CRITERIOS!$A$45:$C$72,3,TRUE)</f>
        <v>Asumir </v>
      </c>
      <c r="P14" s="29"/>
      <c r="Q14" s="29"/>
      <c r="R14" s="36"/>
      <c r="S14" s="37"/>
      <c r="T14" s="37"/>
      <c r="U14" s="39"/>
      <c r="V14" s="39"/>
      <c r="W14" s="39"/>
      <c r="X14" s="39"/>
      <c r="Y14" s="15"/>
      <c r="Z14" s="15"/>
      <c r="AA14" s="15"/>
      <c r="AB14" s="15"/>
      <c r="AC14" s="15"/>
    </row>
    <row r="15" ht="150.0" customHeight="1">
      <c r="A15" s="27"/>
      <c r="B15" s="27"/>
      <c r="C15" s="27"/>
      <c r="D15" s="27"/>
      <c r="E15" s="27"/>
      <c r="F15" s="27"/>
      <c r="G15" s="29"/>
      <c r="H15" s="29"/>
      <c r="I15" s="29"/>
      <c r="J15" s="29"/>
      <c r="K15" s="29"/>
      <c r="L15" s="29"/>
      <c r="M15" s="29">
        <f t="shared" si="1"/>
        <v>0</v>
      </c>
      <c r="N15" s="29" t="str">
        <f>VLOOKUP(M15,CRITERIOS!$A$45:$C$72,2,TRUE)</f>
        <v>BAJO</v>
      </c>
      <c r="O15" s="29" t="str">
        <f>VLOOKUP(M15,CRITERIOS!$A$45:$C$72,3,TRUE)</f>
        <v>Asumir </v>
      </c>
      <c r="P15" s="29"/>
      <c r="Q15" s="29"/>
      <c r="R15" s="36"/>
      <c r="S15" s="37"/>
      <c r="T15" s="37"/>
      <c r="U15" s="39"/>
      <c r="V15" s="39"/>
      <c r="W15" s="39"/>
      <c r="X15" s="39"/>
      <c r="Y15" s="15"/>
      <c r="Z15" s="15"/>
      <c r="AA15" s="15"/>
      <c r="AB15" s="15"/>
      <c r="AC15" s="15"/>
    </row>
    <row r="16" ht="150.0" customHeight="1">
      <c r="A16" s="27"/>
      <c r="B16" s="27"/>
      <c r="C16" s="27"/>
      <c r="D16" s="27"/>
      <c r="E16" s="27"/>
      <c r="F16" s="27"/>
      <c r="G16" s="29"/>
      <c r="H16" s="29"/>
      <c r="I16" s="29"/>
      <c r="J16" s="29"/>
      <c r="K16" s="29"/>
      <c r="L16" s="29"/>
      <c r="M16" s="29">
        <f t="shared" si="1"/>
        <v>0</v>
      </c>
      <c r="N16" s="29" t="str">
        <f>VLOOKUP(M16,CRITERIOS!$A$45:$C$72,2,TRUE)</f>
        <v>BAJO</v>
      </c>
      <c r="O16" s="29" t="str">
        <f>VLOOKUP(M16,CRITERIOS!$A$45:$C$72,3,TRUE)</f>
        <v>Asumir </v>
      </c>
      <c r="P16" s="29"/>
      <c r="Q16" s="29"/>
      <c r="R16" s="36"/>
      <c r="S16" s="37"/>
      <c r="T16" s="37"/>
      <c r="U16" s="39"/>
      <c r="V16" s="39"/>
      <c r="W16" s="39"/>
      <c r="X16" s="39"/>
      <c r="Y16" s="15"/>
      <c r="Z16" s="15"/>
      <c r="AA16" s="15"/>
      <c r="AB16" s="15"/>
      <c r="AC16" s="15"/>
    </row>
    <row r="17" ht="150.0" customHeight="1">
      <c r="A17" s="27"/>
      <c r="B17" s="27"/>
      <c r="C17" s="27"/>
      <c r="D17" s="27"/>
      <c r="E17" s="27"/>
      <c r="F17" s="27"/>
      <c r="G17" s="29"/>
      <c r="H17" s="29"/>
      <c r="I17" s="29"/>
      <c r="J17" s="29"/>
      <c r="K17" s="29"/>
      <c r="L17" s="29"/>
      <c r="M17" s="29">
        <f t="shared" si="1"/>
        <v>0</v>
      </c>
      <c r="N17" s="29" t="str">
        <f>VLOOKUP(M17,CRITERIOS!$A$45:$C$72,2,TRUE)</f>
        <v>BAJO</v>
      </c>
      <c r="O17" s="29" t="str">
        <f>VLOOKUP(M17,CRITERIOS!$A$45:$C$72,3,TRUE)</f>
        <v>Asumir </v>
      </c>
      <c r="P17" s="29"/>
      <c r="Q17" s="29"/>
      <c r="R17" s="36"/>
      <c r="S17" s="37"/>
      <c r="T17" s="37"/>
      <c r="U17" s="39"/>
      <c r="V17" s="39"/>
      <c r="W17" s="39"/>
      <c r="X17" s="39"/>
      <c r="Y17" s="15"/>
      <c r="Z17" s="15"/>
      <c r="AA17" s="15"/>
      <c r="AB17" s="15"/>
      <c r="AC17" s="15"/>
    </row>
    <row r="18" ht="150.0" customHeight="1">
      <c r="A18" s="27"/>
      <c r="B18" s="27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>
        <f t="shared" si="1"/>
        <v>0</v>
      </c>
      <c r="N18" s="29" t="str">
        <f>VLOOKUP(M18,CRITERIOS!$A$45:$C$72,2,TRUE)</f>
        <v>BAJO</v>
      </c>
      <c r="O18" s="29" t="str">
        <f>VLOOKUP(M18,CRITERIOS!$A$45:$C$72,3,TRUE)</f>
        <v>Asumir </v>
      </c>
      <c r="P18" s="29"/>
      <c r="Q18" s="29"/>
      <c r="R18" s="36"/>
      <c r="S18" s="37"/>
      <c r="T18" s="37"/>
      <c r="U18" s="39"/>
      <c r="V18" s="39"/>
      <c r="W18" s="39"/>
      <c r="X18" s="39"/>
      <c r="Y18" s="15"/>
      <c r="Z18" s="15"/>
      <c r="AA18" s="15"/>
      <c r="AB18" s="15"/>
      <c r="AC18" s="15"/>
    </row>
    <row r="19" ht="150.0" customHeight="1">
      <c r="A19" s="27"/>
      <c r="B19" s="27"/>
      <c r="C19" s="27"/>
      <c r="D19" s="27"/>
      <c r="E19" s="27"/>
      <c r="F19" s="27"/>
      <c r="G19" s="29"/>
      <c r="H19" s="29"/>
      <c r="I19" s="29"/>
      <c r="J19" s="29"/>
      <c r="K19" s="29"/>
      <c r="L19" s="29"/>
      <c r="M19" s="29">
        <f t="shared" si="1"/>
        <v>0</v>
      </c>
      <c r="N19" s="29" t="str">
        <f>VLOOKUP(M19,CRITERIOS!$A$45:$C$72,2,TRUE)</f>
        <v>BAJO</v>
      </c>
      <c r="O19" s="29" t="str">
        <f>VLOOKUP(M19,CRITERIOS!$A$45:$C$72,3,TRUE)</f>
        <v>Asumir </v>
      </c>
      <c r="P19" s="29"/>
      <c r="Q19" s="29"/>
      <c r="R19" s="36"/>
      <c r="S19" s="37"/>
      <c r="T19" s="37"/>
      <c r="U19" s="39"/>
      <c r="V19" s="39"/>
      <c r="W19" s="39"/>
      <c r="X19" s="39"/>
      <c r="Y19" s="15"/>
      <c r="Z19" s="15"/>
      <c r="AA19" s="15"/>
      <c r="AB19" s="15"/>
      <c r="AC19" s="15"/>
    </row>
    <row r="20" ht="150.0" customHeight="1">
      <c r="A20" s="27"/>
      <c r="B20" s="27"/>
      <c r="C20" s="27"/>
      <c r="D20" s="27"/>
      <c r="E20" s="27"/>
      <c r="F20" s="27"/>
      <c r="G20" s="29"/>
      <c r="H20" s="29"/>
      <c r="I20" s="29"/>
      <c r="J20" s="29"/>
      <c r="K20" s="29"/>
      <c r="L20" s="29"/>
      <c r="M20" s="29">
        <f t="shared" si="1"/>
        <v>0</v>
      </c>
      <c r="N20" s="29" t="str">
        <f>VLOOKUP(M20,CRITERIOS!$A$45:$C$72,2,TRUE)</f>
        <v>BAJO</v>
      </c>
      <c r="O20" s="29" t="str">
        <f>VLOOKUP(M20,CRITERIOS!$A$45:$C$72,3,TRUE)</f>
        <v>Asumir </v>
      </c>
      <c r="P20" s="29"/>
      <c r="Q20" s="29"/>
      <c r="R20" s="36"/>
      <c r="S20" s="37"/>
      <c r="T20" s="37"/>
      <c r="U20" s="39"/>
      <c r="V20" s="39"/>
      <c r="W20" s="39"/>
      <c r="X20" s="39"/>
      <c r="Y20" s="15"/>
      <c r="Z20" s="15"/>
      <c r="AA20" s="15"/>
      <c r="AB20" s="15"/>
      <c r="AC20" s="15"/>
    </row>
    <row r="21" ht="150.0" customHeight="1">
      <c r="A21" s="27"/>
      <c r="B21" s="27"/>
      <c r="C21" s="27"/>
      <c r="D21" s="27"/>
      <c r="E21" s="27"/>
      <c r="F21" s="27"/>
      <c r="G21" s="29"/>
      <c r="H21" s="29"/>
      <c r="I21" s="29"/>
      <c r="J21" s="29"/>
      <c r="K21" s="29"/>
      <c r="L21" s="29"/>
      <c r="M21" s="29">
        <f t="shared" si="1"/>
        <v>0</v>
      </c>
      <c r="N21" s="29" t="str">
        <f>VLOOKUP(M21,CRITERIOS!$A$45:$C$72,2,TRUE)</f>
        <v>BAJO</v>
      </c>
      <c r="O21" s="29" t="str">
        <f>VLOOKUP(M21,CRITERIOS!$A$45:$C$72,3,TRUE)</f>
        <v>Asumir </v>
      </c>
      <c r="P21" s="29"/>
      <c r="Q21" s="29"/>
      <c r="R21" s="36"/>
      <c r="S21" s="37"/>
      <c r="T21" s="37"/>
      <c r="U21" s="39"/>
      <c r="V21" s="39"/>
      <c r="W21" s="39"/>
      <c r="X21" s="39"/>
      <c r="Y21" s="15"/>
      <c r="Z21" s="15"/>
      <c r="AA21" s="15"/>
      <c r="AB21" s="15"/>
      <c r="AC21" s="15"/>
    </row>
    <row r="22" ht="150.0" customHeight="1">
      <c r="A22" s="27"/>
      <c r="B22" s="27"/>
      <c r="C22" s="27"/>
      <c r="D22" s="27"/>
      <c r="E22" s="27"/>
      <c r="F22" s="27"/>
      <c r="G22" s="29"/>
      <c r="H22" s="29"/>
      <c r="I22" s="29"/>
      <c r="J22" s="29"/>
      <c r="K22" s="29"/>
      <c r="L22" s="29"/>
      <c r="M22" s="29">
        <f t="shared" si="1"/>
        <v>0</v>
      </c>
      <c r="N22" s="29" t="str">
        <f>VLOOKUP(M22,CRITERIOS!$A$45:$C$72,2,TRUE)</f>
        <v>BAJO</v>
      </c>
      <c r="O22" s="29" t="str">
        <f>VLOOKUP(M22,CRITERIOS!$A$45:$C$72,3,TRUE)</f>
        <v>Asumir </v>
      </c>
      <c r="P22" s="29"/>
      <c r="Q22" s="29"/>
      <c r="R22" s="36"/>
      <c r="S22" s="37"/>
      <c r="T22" s="37"/>
      <c r="U22" s="39"/>
      <c r="V22" s="39"/>
      <c r="W22" s="39"/>
      <c r="X22" s="39"/>
      <c r="Y22" s="15"/>
      <c r="Z22" s="15"/>
      <c r="AA22" s="15"/>
      <c r="AB22" s="15"/>
      <c r="AC22" s="15"/>
    </row>
    <row r="23" ht="150.0" customHeight="1">
      <c r="A23" s="27"/>
      <c r="B23" s="27"/>
      <c r="C23" s="27"/>
      <c r="D23" s="27"/>
      <c r="E23" s="27"/>
      <c r="F23" s="27"/>
      <c r="G23" s="29"/>
      <c r="H23" s="29"/>
      <c r="I23" s="29"/>
      <c r="J23" s="29"/>
      <c r="K23" s="29"/>
      <c r="L23" s="29"/>
      <c r="M23" s="29">
        <f t="shared" si="1"/>
        <v>0</v>
      </c>
      <c r="N23" s="29" t="str">
        <f>VLOOKUP(M23,CRITERIOS!$A$45:$C$72,2,TRUE)</f>
        <v>BAJO</v>
      </c>
      <c r="O23" s="29" t="str">
        <f>VLOOKUP(M23,CRITERIOS!$A$45:$C$72,3,TRUE)</f>
        <v>Asumir </v>
      </c>
      <c r="P23" s="29"/>
      <c r="Q23" s="29"/>
      <c r="R23" s="36"/>
      <c r="S23" s="37"/>
      <c r="T23" s="37"/>
      <c r="U23" s="39"/>
      <c r="V23" s="39"/>
      <c r="W23" s="39"/>
      <c r="X23" s="39"/>
      <c r="Y23" s="15"/>
      <c r="Z23" s="15"/>
      <c r="AA23" s="15"/>
      <c r="AB23" s="15"/>
      <c r="AC23" s="15"/>
    </row>
    <row r="24" ht="150.0" customHeight="1">
      <c r="A24" s="27"/>
      <c r="B24" s="27"/>
      <c r="C24" s="27"/>
      <c r="D24" s="27"/>
      <c r="E24" s="27"/>
      <c r="F24" s="27"/>
      <c r="G24" s="29"/>
      <c r="H24" s="29"/>
      <c r="I24" s="29"/>
      <c r="J24" s="29"/>
      <c r="K24" s="29"/>
      <c r="L24" s="29"/>
      <c r="M24" s="29">
        <f t="shared" si="1"/>
        <v>0</v>
      </c>
      <c r="N24" s="29" t="str">
        <f>VLOOKUP(M24,CRITERIOS!$A$45:$C$72,2,TRUE)</f>
        <v>BAJO</v>
      </c>
      <c r="O24" s="29" t="str">
        <f>VLOOKUP(M24,CRITERIOS!$A$45:$C$72,3,TRUE)</f>
        <v>Asumir </v>
      </c>
      <c r="P24" s="29"/>
      <c r="Q24" s="29"/>
      <c r="R24" s="36"/>
      <c r="S24" s="37"/>
      <c r="T24" s="37"/>
      <c r="U24" s="39"/>
      <c r="V24" s="39"/>
      <c r="W24" s="39"/>
      <c r="X24" s="39"/>
      <c r="Y24" s="15"/>
      <c r="Z24" s="15"/>
      <c r="AA24" s="15"/>
      <c r="AB24" s="15"/>
      <c r="AC24" s="15"/>
    </row>
    <row r="25" ht="150.0" customHeight="1">
      <c r="A25" s="27"/>
      <c r="B25" s="27"/>
      <c r="C25" s="27"/>
      <c r="D25" s="27"/>
      <c r="E25" s="27"/>
      <c r="F25" s="27"/>
      <c r="G25" s="29"/>
      <c r="H25" s="29"/>
      <c r="I25" s="29"/>
      <c r="J25" s="29"/>
      <c r="K25" s="29"/>
      <c r="L25" s="29"/>
      <c r="M25" s="29">
        <f t="shared" si="1"/>
        <v>0</v>
      </c>
      <c r="N25" s="29" t="str">
        <f>VLOOKUP(M25,CRITERIOS!$A$45:$C$72,2,TRUE)</f>
        <v>BAJO</v>
      </c>
      <c r="O25" s="29" t="str">
        <f>VLOOKUP(M25,CRITERIOS!$A$45:$C$72,3,TRUE)</f>
        <v>Asumir </v>
      </c>
      <c r="P25" s="29"/>
      <c r="Q25" s="29"/>
      <c r="R25" s="36"/>
      <c r="S25" s="37"/>
      <c r="T25" s="37"/>
      <c r="U25" s="39"/>
      <c r="V25" s="39"/>
      <c r="W25" s="39"/>
      <c r="X25" s="39"/>
      <c r="Y25" s="15"/>
      <c r="Z25" s="15"/>
      <c r="AA25" s="15"/>
      <c r="AB25" s="15"/>
      <c r="AC25" s="15"/>
    </row>
    <row r="26" ht="150.0" customHeight="1">
      <c r="A26" s="27"/>
      <c r="B26" s="27"/>
      <c r="C26" s="27"/>
      <c r="D26" s="27"/>
      <c r="E26" s="27"/>
      <c r="F26" s="27"/>
      <c r="G26" s="29"/>
      <c r="H26" s="29"/>
      <c r="I26" s="29"/>
      <c r="J26" s="29"/>
      <c r="K26" s="29"/>
      <c r="L26" s="29"/>
      <c r="M26" s="29">
        <f t="shared" si="1"/>
        <v>0</v>
      </c>
      <c r="N26" s="29" t="str">
        <f>VLOOKUP(M26,CRITERIOS!$A$45:$C$72,2,TRUE)</f>
        <v>BAJO</v>
      </c>
      <c r="O26" s="29" t="str">
        <f>VLOOKUP(M26,CRITERIOS!$A$45:$C$72,3,TRUE)</f>
        <v>Asumir </v>
      </c>
      <c r="P26" s="29"/>
      <c r="Q26" s="29"/>
      <c r="R26" s="36"/>
      <c r="S26" s="37"/>
      <c r="T26" s="37"/>
      <c r="U26" s="39"/>
      <c r="V26" s="39"/>
      <c r="W26" s="39"/>
      <c r="X26" s="39"/>
      <c r="Y26" s="15"/>
      <c r="Z26" s="15"/>
      <c r="AA26" s="15"/>
      <c r="AB26" s="15"/>
      <c r="AC26" s="15"/>
    </row>
    <row r="27" ht="150.0" customHeight="1">
      <c r="A27" s="27"/>
      <c r="B27" s="27"/>
      <c r="C27" s="27"/>
      <c r="D27" s="27"/>
      <c r="E27" s="27"/>
      <c r="F27" s="27"/>
      <c r="G27" s="29"/>
      <c r="H27" s="29"/>
      <c r="I27" s="29"/>
      <c r="J27" s="29"/>
      <c r="K27" s="29"/>
      <c r="L27" s="29"/>
      <c r="M27" s="29">
        <f t="shared" si="1"/>
        <v>0</v>
      </c>
      <c r="N27" s="29" t="str">
        <f>VLOOKUP(M27,CRITERIOS!$A$45:$C$72,2,TRUE)</f>
        <v>BAJO</v>
      </c>
      <c r="O27" s="29" t="str">
        <f>VLOOKUP(M27,CRITERIOS!$A$45:$C$72,3,TRUE)</f>
        <v>Asumir </v>
      </c>
      <c r="P27" s="29"/>
      <c r="Q27" s="29"/>
      <c r="R27" s="36"/>
      <c r="S27" s="37"/>
      <c r="T27" s="37"/>
      <c r="U27" s="39"/>
      <c r="V27" s="39"/>
      <c r="W27" s="39"/>
      <c r="X27" s="39"/>
      <c r="Y27" s="15"/>
      <c r="Z27" s="15"/>
      <c r="AA27" s="15"/>
      <c r="AB27" s="15"/>
      <c r="AC27" s="15"/>
    </row>
    <row r="28" ht="14.2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15"/>
      <c r="Z28" s="15"/>
      <c r="AA28" s="15"/>
      <c r="AB28" s="15"/>
      <c r="AC28" s="15"/>
    </row>
    <row r="29" ht="14.2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15"/>
      <c r="Z29" s="15"/>
      <c r="AA29" s="15"/>
      <c r="AB29" s="15"/>
      <c r="AC29" s="15"/>
    </row>
    <row r="30" ht="14.2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15"/>
      <c r="Z30" s="15"/>
      <c r="AA30" s="15"/>
      <c r="AB30" s="15"/>
      <c r="AC30" s="15"/>
    </row>
    <row r="31" ht="14.25" customHeight="1">
      <c r="A31" s="40"/>
      <c r="B31" s="40"/>
      <c r="C31" s="40"/>
      <c r="D31" s="40"/>
      <c r="E31" s="40"/>
      <c r="F31" s="40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15"/>
      <c r="Z31" s="15"/>
      <c r="AA31" s="15"/>
      <c r="AB31" s="15"/>
      <c r="AC31" s="15"/>
    </row>
    <row r="32" ht="14.25" customHeight="1">
      <c r="A32" s="40"/>
      <c r="B32" s="40"/>
      <c r="C32" s="40"/>
      <c r="D32" s="40"/>
      <c r="E32" s="40"/>
      <c r="F32" s="40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15"/>
      <c r="Z32" s="15"/>
      <c r="AA32" s="15"/>
      <c r="AB32" s="15"/>
      <c r="AC32" s="15"/>
    </row>
    <row r="33" ht="14.25" customHeight="1">
      <c r="A33" s="40"/>
      <c r="B33" s="40"/>
      <c r="C33" s="40"/>
      <c r="D33" s="40"/>
      <c r="E33" s="40"/>
      <c r="F33" s="40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15"/>
      <c r="Z33" s="15"/>
      <c r="AA33" s="15"/>
      <c r="AB33" s="15"/>
      <c r="AC33" s="15"/>
    </row>
    <row r="34" ht="14.25" customHeight="1">
      <c r="A34" s="40"/>
      <c r="B34" s="40"/>
      <c r="C34" s="40"/>
      <c r="D34" s="40"/>
      <c r="E34" s="40"/>
      <c r="F34" s="40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15"/>
      <c r="Z34" s="15"/>
      <c r="AA34" s="15"/>
      <c r="AB34" s="15"/>
      <c r="AC34" s="15"/>
    </row>
    <row r="35" ht="14.25" customHeight="1">
      <c r="A35" s="40"/>
      <c r="B35" s="40"/>
      <c r="C35" s="40"/>
      <c r="D35" s="40"/>
      <c r="E35" s="40"/>
      <c r="F35" s="40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15"/>
      <c r="Z35" s="15"/>
      <c r="AA35" s="15"/>
      <c r="AB35" s="15"/>
      <c r="AC35" s="15"/>
    </row>
    <row r="36" ht="14.25" customHeight="1">
      <c r="A36" s="40"/>
      <c r="B36" s="40"/>
      <c r="C36" s="40"/>
      <c r="D36" s="40"/>
      <c r="E36" s="40"/>
      <c r="F36" s="40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15"/>
      <c r="Z36" s="15"/>
      <c r="AA36" s="15"/>
      <c r="AB36" s="15"/>
      <c r="AC36" s="15"/>
    </row>
    <row r="37" ht="14.25" customHeight="1">
      <c r="A37" s="40"/>
      <c r="B37" s="40"/>
      <c r="C37" s="40"/>
      <c r="D37" s="40"/>
      <c r="E37" s="40"/>
      <c r="F37" s="40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15"/>
      <c r="Z37" s="15"/>
      <c r="AA37" s="15"/>
      <c r="AB37" s="15"/>
      <c r="AC37" s="15"/>
    </row>
    <row r="38" ht="14.25" customHeight="1">
      <c r="A38" s="40"/>
      <c r="B38" s="40"/>
      <c r="C38" s="40"/>
      <c r="D38" s="40"/>
      <c r="E38" s="40"/>
      <c r="F38" s="40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15"/>
      <c r="Z38" s="15"/>
      <c r="AA38" s="15"/>
      <c r="AB38" s="15"/>
      <c r="AC38" s="15"/>
    </row>
    <row r="39" ht="14.25" customHeight="1">
      <c r="A39" s="15"/>
      <c r="B39" s="15"/>
      <c r="C39" s="15"/>
      <c r="D39" s="15"/>
      <c r="E39" s="15"/>
      <c r="F39" s="15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15"/>
      <c r="Z39" s="15"/>
      <c r="AA39" s="15"/>
      <c r="AB39" s="15"/>
      <c r="AC39" s="15"/>
    </row>
    <row r="40" ht="14.25" customHeight="1">
      <c r="A40" s="15"/>
      <c r="B40" s="15"/>
      <c r="C40" s="15"/>
      <c r="D40" s="15"/>
      <c r="E40" s="15"/>
      <c r="F40" s="15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15"/>
      <c r="Z40" s="15"/>
      <c r="AA40" s="15"/>
      <c r="AB40" s="15"/>
      <c r="AC40" s="15"/>
    </row>
    <row r="41" ht="14.25" customHeight="1">
      <c r="A41" s="15"/>
      <c r="B41" s="15"/>
      <c r="C41" s="15"/>
      <c r="D41" s="15"/>
      <c r="E41" s="15"/>
      <c r="F41" s="15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15"/>
      <c r="Z41" s="15"/>
      <c r="AA41" s="15"/>
      <c r="AB41" s="15"/>
      <c r="AC41" s="15"/>
    </row>
    <row r="42" ht="14.25" customHeight="1">
      <c r="A42" s="15"/>
      <c r="B42" s="15"/>
      <c r="C42" s="15"/>
      <c r="D42" s="15"/>
      <c r="E42" s="15"/>
      <c r="F42" s="15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15"/>
      <c r="Z42" s="15"/>
      <c r="AA42" s="15"/>
      <c r="AB42" s="15"/>
      <c r="AC42" s="15"/>
    </row>
    <row r="43" ht="14.25" customHeight="1">
      <c r="A43" s="15"/>
      <c r="B43" s="15"/>
      <c r="C43" s="15"/>
      <c r="D43" s="15"/>
      <c r="E43" s="15"/>
      <c r="F43" s="15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15"/>
      <c r="Z43" s="15"/>
      <c r="AA43" s="15"/>
      <c r="AB43" s="15"/>
      <c r="AC43" s="15"/>
    </row>
    <row r="44" ht="14.25" customHeight="1">
      <c r="A44" s="15"/>
      <c r="B44" s="15"/>
      <c r="C44" s="15"/>
      <c r="D44" s="15"/>
      <c r="E44" s="15"/>
      <c r="F44" s="15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15"/>
      <c r="Z44" s="15"/>
      <c r="AA44" s="15"/>
      <c r="AB44" s="15"/>
      <c r="AC44" s="15"/>
    </row>
    <row r="45" ht="14.25" customHeight="1">
      <c r="A45" s="15"/>
      <c r="B45" s="15"/>
      <c r="C45" s="15"/>
      <c r="D45" s="15"/>
      <c r="E45" s="15"/>
      <c r="F45" s="15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15"/>
      <c r="Z45" s="15"/>
      <c r="AA45" s="15"/>
      <c r="AB45" s="15"/>
      <c r="AC45" s="15"/>
    </row>
    <row r="46" ht="14.25" customHeight="1">
      <c r="A46" s="15"/>
      <c r="B46" s="15"/>
      <c r="C46" s="15"/>
      <c r="D46" s="15"/>
      <c r="E46" s="15"/>
      <c r="F46" s="15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15"/>
      <c r="Z46" s="15"/>
      <c r="AA46" s="15"/>
      <c r="AB46" s="15"/>
      <c r="AC46" s="15"/>
    </row>
    <row r="47" ht="14.25" customHeight="1">
      <c r="A47" s="15"/>
      <c r="B47" s="15"/>
      <c r="C47" s="15"/>
      <c r="D47" s="15"/>
      <c r="E47" s="15"/>
      <c r="F47" s="15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15"/>
      <c r="Z47" s="15"/>
      <c r="AA47" s="15"/>
      <c r="AB47" s="15"/>
      <c r="AC47" s="15"/>
    </row>
    <row r="48" ht="14.25" customHeight="1">
      <c r="A48" s="15"/>
      <c r="B48" s="15"/>
      <c r="C48" s="15"/>
      <c r="D48" s="15"/>
      <c r="E48" s="15"/>
      <c r="F48" s="15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15"/>
      <c r="Z48" s="15"/>
      <c r="AA48" s="15"/>
      <c r="AB48" s="15"/>
      <c r="AC48" s="15"/>
    </row>
    <row r="49" ht="14.25" customHeight="1">
      <c r="A49" s="15"/>
      <c r="B49" s="15"/>
      <c r="C49" s="15"/>
      <c r="D49" s="15"/>
      <c r="E49" s="15"/>
      <c r="F49" s="15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15"/>
      <c r="Z49" s="15"/>
      <c r="AA49" s="15"/>
      <c r="AB49" s="15"/>
      <c r="AC49" s="15"/>
    </row>
    <row r="50" ht="14.25" customHeight="1">
      <c r="A50" s="15"/>
      <c r="B50" s="15"/>
      <c r="C50" s="15"/>
      <c r="D50" s="15"/>
      <c r="E50" s="15"/>
      <c r="F50" s="15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15"/>
      <c r="Z50" s="15"/>
      <c r="AA50" s="15"/>
      <c r="AB50" s="15"/>
      <c r="AC50" s="15"/>
    </row>
    <row r="51" ht="14.25" customHeight="1">
      <c r="A51" s="15"/>
      <c r="B51" s="15"/>
      <c r="C51" s="15"/>
      <c r="D51" s="15"/>
      <c r="E51" s="15"/>
      <c r="F51" s="15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15"/>
      <c r="Z51" s="15"/>
      <c r="AA51" s="15"/>
      <c r="AB51" s="15"/>
      <c r="AC51" s="15"/>
    </row>
    <row r="52" ht="14.25" customHeight="1">
      <c r="A52" s="15"/>
      <c r="B52" s="15"/>
      <c r="C52" s="15"/>
      <c r="D52" s="15"/>
      <c r="E52" s="15"/>
      <c r="F52" s="15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15"/>
      <c r="Z52" s="15"/>
      <c r="AA52" s="15"/>
      <c r="AB52" s="15"/>
      <c r="AC52" s="15"/>
    </row>
    <row r="53" ht="14.25" customHeight="1">
      <c r="A53" s="15"/>
      <c r="B53" s="15"/>
      <c r="C53" s="15"/>
      <c r="D53" s="15"/>
      <c r="E53" s="15"/>
      <c r="F53" s="15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15"/>
      <c r="Z53" s="15"/>
      <c r="AA53" s="15"/>
      <c r="AB53" s="15"/>
      <c r="AC53" s="15"/>
    </row>
    <row r="54" ht="14.25" customHeight="1">
      <c r="A54" s="15"/>
      <c r="B54" s="15"/>
      <c r="C54" s="15"/>
      <c r="D54" s="15"/>
      <c r="E54" s="15"/>
      <c r="F54" s="15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15"/>
      <c r="Z54" s="15"/>
      <c r="AA54" s="15"/>
      <c r="AB54" s="15"/>
      <c r="AC54" s="15"/>
    </row>
    <row r="55" ht="14.25" customHeight="1">
      <c r="A55" s="15"/>
      <c r="B55" s="15"/>
      <c r="C55" s="15"/>
      <c r="D55" s="15"/>
      <c r="E55" s="15"/>
      <c r="F55" s="15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15"/>
      <c r="Z55" s="15"/>
      <c r="AA55" s="15"/>
      <c r="AB55" s="15"/>
      <c r="AC55" s="15"/>
    </row>
    <row r="56" ht="14.25" customHeight="1">
      <c r="A56" s="15"/>
      <c r="B56" s="15"/>
      <c r="C56" s="15"/>
      <c r="D56" s="15"/>
      <c r="E56" s="15"/>
      <c r="F56" s="15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15"/>
      <c r="Z56" s="15"/>
      <c r="AA56" s="15"/>
      <c r="AB56" s="15"/>
      <c r="AC56" s="15"/>
    </row>
    <row r="57" ht="14.25" customHeight="1">
      <c r="A57" s="15"/>
      <c r="B57" s="15"/>
      <c r="C57" s="15"/>
      <c r="D57" s="15"/>
      <c r="E57" s="15"/>
      <c r="F57" s="15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15"/>
      <c r="Z57" s="15"/>
      <c r="AA57" s="15"/>
      <c r="AB57" s="15"/>
      <c r="AC57" s="15"/>
    </row>
    <row r="58" ht="14.25" customHeight="1">
      <c r="A58" s="15"/>
      <c r="B58" s="15"/>
      <c r="C58" s="15"/>
      <c r="D58" s="15"/>
      <c r="E58" s="15"/>
      <c r="F58" s="15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15"/>
      <c r="Z58" s="15"/>
      <c r="AA58" s="15"/>
      <c r="AB58" s="15"/>
      <c r="AC58" s="15"/>
    </row>
    <row r="59" ht="14.25" customHeight="1">
      <c r="A59" s="15"/>
      <c r="B59" s="15"/>
      <c r="C59" s="15"/>
      <c r="D59" s="15"/>
      <c r="E59" s="15"/>
      <c r="F59" s="15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15"/>
      <c r="Z59" s="15"/>
      <c r="AA59" s="15"/>
      <c r="AB59" s="15"/>
      <c r="AC59" s="15"/>
    </row>
    <row r="60" ht="14.25" customHeight="1">
      <c r="A60" s="15"/>
      <c r="B60" s="15"/>
      <c r="C60" s="15"/>
      <c r="D60" s="15"/>
      <c r="E60" s="15"/>
      <c r="F60" s="15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15"/>
      <c r="Z60" s="15"/>
      <c r="AA60" s="15"/>
      <c r="AB60" s="15"/>
      <c r="AC60" s="15"/>
    </row>
    <row r="61" ht="14.25" customHeight="1">
      <c r="A61" s="15"/>
      <c r="B61" s="15"/>
      <c r="C61" s="15"/>
      <c r="D61" s="15"/>
      <c r="E61" s="15"/>
      <c r="F61" s="15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15"/>
      <c r="Z61" s="15"/>
      <c r="AA61" s="15"/>
      <c r="AB61" s="15"/>
      <c r="AC61" s="15"/>
    </row>
    <row r="62" ht="14.25" customHeight="1">
      <c r="A62" s="15"/>
      <c r="B62" s="15"/>
      <c r="C62" s="15"/>
      <c r="D62" s="15"/>
      <c r="E62" s="15"/>
      <c r="F62" s="15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15"/>
      <c r="Z62" s="15"/>
      <c r="AA62" s="15"/>
      <c r="AB62" s="15"/>
      <c r="AC62" s="15"/>
    </row>
    <row r="63" ht="14.25" customHeight="1">
      <c r="A63" s="15"/>
      <c r="B63" s="15"/>
      <c r="C63" s="15"/>
      <c r="D63" s="15"/>
      <c r="E63" s="15"/>
      <c r="F63" s="15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15"/>
      <c r="Z63" s="15"/>
      <c r="AA63" s="15"/>
      <c r="AB63" s="15"/>
      <c r="AC63" s="15"/>
    </row>
    <row r="64" ht="14.25" customHeight="1">
      <c r="A64" s="15"/>
      <c r="B64" s="15"/>
      <c r="C64" s="15"/>
      <c r="D64" s="15"/>
      <c r="E64" s="15"/>
      <c r="F64" s="15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15"/>
      <c r="Z64" s="15"/>
      <c r="AA64" s="15"/>
      <c r="AB64" s="15"/>
      <c r="AC64" s="15"/>
    </row>
    <row r="65" ht="14.25" customHeight="1">
      <c r="A65" s="15"/>
      <c r="B65" s="15"/>
      <c r="C65" s="15"/>
      <c r="D65" s="15"/>
      <c r="E65" s="15"/>
      <c r="F65" s="15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15"/>
      <c r="Z65" s="15"/>
      <c r="AA65" s="15"/>
      <c r="AB65" s="15"/>
      <c r="AC65" s="15"/>
    </row>
    <row r="66" ht="14.25" customHeight="1">
      <c r="A66" s="15"/>
      <c r="B66" s="15"/>
      <c r="C66" s="15"/>
      <c r="D66" s="15"/>
      <c r="E66" s="15"/>
      <c r="F66" s="15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15"/>
      <c r="Z66" s="15"/>
      <c r="AA66" s="15"/>
      <c r="AB66" s="15"/>
      <c r="AC66" s="15"/>
    </row>
    <row r="67" ht="14.25" customHeight="1">
      <c r="A67" s="15"/>
      <c r="B67" s="15"/>
      <c r="C67" s="15"/>
      <c r="D67" s="15"/>
      <c r="E67" s="15"/>
      <c r="F67" s="15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15"/>
      <c r="Z67" s="15"/>
      <c r="AA67" s="15"/>
      <c r="AB67" s="15"/>
      <c r="AC67" s="15"/>
    </row>
    <row r="68" ht="14.25" customHeight="1">
      <c r="A68" s="15"/>
      <c r="B68" s="15"/>
      <c r="C68" s="15"/>
      <c r="D68" s="15"/>
      <c r="E68" s="15"/>
      <c r="F68" s="15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15"/>
      <c r="Z68" s="15"/>
      <c r="AA68" s="15"/>
      <c r="AB68" s="15"/>
      <c r="AC68" s="15"/>
    </row>
    <row r="69" ht="14.25" customHeight="1">
      <c r="A69" s="15"/>
      <c r="B69" s="15"/>
      <c r="C69" s="15"/>
      <c r="D69" s="15"/>
      <c r="E69" s="15"/>
      <c r="F69" s="15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15"/>
      <c r="Z69" s="15"/>
      <c r="AA69" s="15"/>
      <c r="AB69" s="15"/>
      <c r="AC69" s="15"/>
    </row>
    <row r="70" ht="14.25" customHeight="1">
      <c r="A70" s="15"/>
      <c r="B70" s="15"/>
      <c r="C70" s="15"/>
      <c r="D70" s="15"/>
      <c r="E70" s="15"/>
      <c r="F70" s="15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15"/>
      <c r="Z70" s="15"/>
      <c r="AA70" s="15"/>
      <c r="AB70" s="15"/>
      <c r="AC70" s="15"/>
    </row>
    <row r="71" ht="14.25" customHeight="1">
      <c r="A71" s="15"/>
      <c r="B71" s="15"/>
      <c r="C71" s="15"/>
      <c r="D71" s="15"/>
      <c r="E71" s="15"/>
      <c r="F71" s="15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15"/>
      <c r="Z71" s="15"/>
      <c r="AA71" s="15"/>
      <c r="AB71" s="15"/>
      <c r="AC71" s="15"/>
    </row>
    <row r="72" ht="14.25" customHeight="1">
      <c r="A72" s="15"/>
      <c r="B72" s="15"/>
      <c r="C72" s="15"/>
      <c r="D72" s="15"/>
      <c r="E72" s="15"/>
      <c r="F72" s="15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15"/>
      <c r="Z72" s="15"/>
      <c r="AA72" s="15"/>
      <c r="AB72" s="15"/>
      <c r="AC72" s="15"/>
    </row>
    <row r="73" ht="14.25" customHeight="1">
      <c r="A73" s="15"/>
      <c r="B73" s="15"/>
      <c r="C73" s="15"/>
      <c r="D73" s="15"/>
      <c r="E73" s="15"/>
      <c r="F73" s="15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15"/>
      <c r="Z73" s="15"/>
      <c r="AA73" s="15"/>
      <c r="AB73" s="15"/>
      <c r="AC73" s="15"/>
    </row>
    <row r="74" ht="14.25" customHeight="1">
      <c r="A74" s="15"/>
      <c r="B74" s="15"/>
      <c r="C74" s="15"/>
      <c r="D74" s="15"/>
      <c r="E74" s="15"/>
      <c r="F74" s="15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15"/>
      <c r="Z74" s="15"/>
      <c r="AA74" s="15"/>
      <c r="AB74" s="15"/>
      <c r="AC74" s="15"/>
    </row>
    <row r="75" ht="14.25" customHeight="1">
      <c r="A75" s="15"/>
      <c r="B75" s="15"/>
      <c r="C75" s="15"/>
      <c r="D75" s="15"/>
      <c r="E75" s="15"/>
      <c r="F75" s="15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15"/>
      <c r="Z75" s="15"/>
      <c r="AA75" s="15"/>
      <c r="AB75" s="15"/>
      <c r="AC75" s="15"/>
    </row>
    <row r="76" ht="14.25" customHeight="1">
      <c r="A76" s="15"/>
      <c r="B76" s="15"/>
      <c r="C76" s="15"/>
      <c r="D76" s="15"/>
      <c r="E76" s="15"/>
      <c r="F76" s="15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15"/>
      <c r="Z76" s="15"/>
      <c r="AA76" s="15"/>
      <c r="AB76" s="15"/>
      <c r="AC76" s="15"/>
    </row>
    <row r="77" ht="14.25" customHeight="1">
      <c r="A77" s="15"/>
      <c r="B77" s="15"/>
      <c r="C77" s="15"/>
      <c r="D77" s="15"/>
      <c r="E77" s="15"/>
      <c r="F77" s="15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15"/>
      <c r="Z77" s="15"/>
      <c r="AA77" s="15"/>
      <c r="AB77" s="15"/>
      <c r="AC77" s="15"/>
    </row>
    <row r="78" ht="14.25" customHeight="1">
      <c r="A78" s="15"/>
      <c r="B78" s="15"/>
      <c r="C78" s="15"/>
      <c r="D78" s="15"/>
      <c r="E78" s="15"/>
      <c r="F78" s="15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15"/>
      <c r="Z78" s="15"/>
      <c r="AA78" s="15"/>
      <c r="AB78" s="15"/>
      <c r="AC78" s="15"/>
    </row>
    <row r="79" ht="14.25" customHeight="1">
      <c r="A79" s="15"/>
      <c r="B79" s="15"/>
      <c r="C79" s="15"/>
      <c r="D79" s="15"/>
      <c r="E79" s="15"/>
      <c r="F79" s="15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15"/>
      <c r="Z79" s="15"/>
      <c r="AA79" s="15"/>
      <c r="AB79" s="15"/>
      <c r="AC79" s="15"/>
    </row>
    <row r="80" ht="14.25" customHeight="1">
      <c r="A80" s="15"/>
      <c r="B80" s="15"/>
      <c r="C80" s="15"/>
      <c r="D80" s="15"/>
      <c r="E80" s="15"/>
      <c r="F80" s="15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15"/>
      <c r="Z80" s="15"/>
      <c r="AA80" s="15"/>
      <c r="AB80" s="15"/>
      <c r="AC80" s="15"/>
    </row>
    <row r="81" ht="14.25" customHeight="1">
      <c r="A81" s="15"/>
      <c r="B81" s="15"/>
      <c r="C81" s="15"/>
      <c r="D81" s="15"/>
      <c r="E81" s="15"/>
      <c r="F81" s="15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15"/>
      <c r="Z81" s="15"/>
      <c r="AA81" s="15"/>
      <c r="AB81" s="15"/>
      <c r="AC81" s="15"/>
    </row>
    <row r="82" ht="14.25" customHeight="1">
      <c r="A82" s="15"/>
      <c r="B82" s="15"/>
      <c r="C82" s="15"/>
      <c r="D82" s="15"/>
      <c r="E82" s="15"/>
      <c r="F82" s="15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15"/>
      <c r="Z82" s="15"/>
      <c r="AA82" s="15"/>
      <c r="AB82" s="15"/>
      <c r="AC82" s="15"/>
    </row>
    <row r="83" ht="14.25" customHeight="1">
      <c r="A83" s="15"/>
      <c r="B83" s="15"/>
      <c r="C83" s="15"/>
      <c r="D83" s="15"/>
      <c r="E83" s="15"/>
      <c r="F83" s="15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15"/>
      <c r="Z83" s="15"/>
      <c r="AA83" s="15"/>
      <c r="AB83" s="15"/>
      <c r="AC83" s="15"/>
    </row>
    <row r="84" ht="14.25" customHeight="1">
      <c r="A84" s="15"/>
      <c r="B84" s="15"/>
      <c r="C84" s="15"/>
      <c r="D84" s="15"/>
      <c r="E84" s="15"/>
      <c r="F84" s="15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15"/>
      <c r="Z84" s="15"/>
      <c r="AA84" s="15"/>
      <c r="AB84" s="15"/>
      <c r="AC84" s="15"/>
    </row>
    <row r="85" ht="14.25" customHeight="1">
      <c r="A85" s="15"/>
      <c r="B85" s="15"/>
      <c r="C85" s="15"/>
      <c r="D85" s="15"/>
      <c r="E85" s="15"/>
      <c r="F85" s="15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15"/>
      <c r="Z85" s="15"/>
      <c r="AA85" s="15"/>
      <c r="AB85" s="15"/>
      <c r="AC85" s="15"/>
    </row>
    <row r="86" ht="14.25" customHeight="1">
      <c r="A86" s="15"/>
      <c r="B86" s="15"/>
      <c r="C86" s="15"/>
      <c r="D86" s="15"/>
      <c r="E86" s="15"/>
      <c r="F86" s="15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15"/>
      <c r="Z86" s="15"/>
      <c r="AA86" s="15"/>
      <c r="AB86" s="15"/>
      <c r="AC86" s="15"/>
    </row>
    <row r="87" ht="14.25" customHeight="1">
      <c r="A87" s="15"/>
      <c r="B87" s="15"/>
      <c r="C87" s="15"/>
      <c r="D87" s="15"/>
      <c r="E87" s="15"/>
      <c r="F87" s="15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15"/>
      <c r="Z87" s="15"/>
      <c r="AA87" s="15"/>
      <c r="AB87" s="15"/>
      <c r="AC87" s="15"/>
    </row>
    <row r="88" ht="14.25" customHeight="1">
      <c r="A88" s="15"/>
      <c r="B88" s="15"/>
      <c r="C88" s="15"/>
      <c r="D88" s="15"/>
      <c r="E88" s="15"/>
      <c r="F88" s="15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15"/>
      <c r="Z88" s="15"/>
      <c r="AA88" s="15"/>
      <c r="AB88" s="15"/>
      <c r="AC88" s="15"/>
    </row>
    <row r="89" ht="14.25" customHeight="1">
      <c r="A89" s="15"/>
      <c r="B89" s="15"/>
      <c r="C89" s="15"/>
      <c r="D89" s="15"/>
      <c r="E89" s="15"/>
      <c r="F89" s="15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15"/>
      <c r="Z89" s="15"/>
      <c r="AA89" s="15"/>
      <c r="AB89" s="15"/>
      <c r="AC89" s="15"/>
    </row>
    <row r="90" ht="14.25" customHeight="1">
      <c r="A90" s="15"/>
      <c r="B90" s="15"/>
      <c r="C90" s="15"/>
      <c r="D90" s="15"/>
      <c r="E90" s="15"/>
      <c r="F90" s="15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15"/>
      <c r="Z90" s="15"/>
      <c r="AA90" s="15"/>
      <c r="AB90" s="15"/>
      <c r="AC90" s="15"/>
    </row>
    <row r="91" ht="14.25" customHeight="1">
      <c r="A91" s="15"/>
      <c r="B91" s="15"/>
      <c r="C91" s="15"/>
      <c r="D91" s="15"/>
      <c r="E91" s="15"/>
      <c r="F91" s="15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15"/>
      <c r="Z91" s="15"/>
      <c r="AA91" s="15"/>
      <c r="AB91" s="15"/>
      <c r="AC91" s="15"/>
    </row>
    <row r="92" ht="14.25" customHeight="1">
      <c r="A92" s="15"/>
      <c r="B92" s="15"/>
      <c r="C92" s="15"/>
      <c r="D92" s="15"/>
      <c r="E92" s="15"/>
      <c r="F92" s="15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15"/>
      <c r="Z92" s="15"/>
      <c r="AA92" s="15"/>
      <c r="AB92" s="15"/>
      <c r="AC92" s="15"/>
    </row>
    <row r="93" ht="14.25" customHeight="1">
      <c r="A93" s="15"/>
      <c r="B93" s="15"/>
      <c r="C93" s="15"/>
      <c r="D93" s="15"/>
      <c r="E93" s="15"/>
      <c r="F93" s="15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15"/>
      <c r="Z93" s="15"/>
      <c r="AA93" s="15"/>
      <c r="AB93" s="15"/>
      <c r="AC93" s="15"/>
    </row>
    <row r="94" ht="14.25" customHeight="1">
      <c r="A94" s="15"/>
      <c r="B94" s="15"/>
      <c r="C94" s="15"/>
      <c r="D94" s="15"/>
      <c r="E94" s="15"/>
      <c r="F94" s="15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15"/>
      <c r="Z94" s="15"/>
      <c r="AA94" s="15"/>
      <c r="AB94" s="15"/>
      <c r="AC94" s="15"/>
    </row>
    <row r="95" ht="14.25" customHeight="1">
      <c r="A95" s="15"/>
      <c r="B95" s="15"/>
      <c r="C95" s="15"/>
      <c r="D95" s="15"/>
      <c r="E95" s="15"/>
      <c r="F95" s="15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15"/>
      <c r="Z95" s="15"/>
      <c r="AA95" s="15"/>
      <c r="AB95" s="15"/>
      <c r="AC95" s="15"/>
    </row>
    <row r="96" ht="14.25" customHeight="1">
      <c r="A96" s="15"/>
      <c r="B96" s="15"/>
      <c r="C96" s="15"/>
      <c r="D96" s="15"/>
      <c r="E96" s="15"/>
      <c r="F96" s="15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15"/>
      <c r="Z96" s="15"/>
      <c r="AA96" s="15"/>
      <c r="AB96" s="15"/>
      <c r="AC96" s="15"/>
    </row>
    <row r="97" ht="14.25" customHeight="1">
      <c r="A97" s="15"/>
      <c r="B97" s="15"/>
      <c r="C97" s="15"/>
      <c r="D97" s="15"/>
      <c r="E97" s="15"/>
      <c r="F97" s="15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15"/>
      <c r="Z97" s="15"/>
      <c r="AA97" s="15"/>
      <c r="AB97" s="15"/>
      <c r="AC97" s="15"/>
    </row>
    <row r="98" ht="14.25" customHeight="1">
      <c r="A98" s="15"/>
      <c r="B98" s="15"/>
      <c r="C98" s="15"/>
      <c r="D98" s="15"/>
      <c r="E98" s="15"/>
      <c r="F98" s="15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15"/>
      <c r="Z98" s="15"/>
      <c r="AA98" s="15"/>
      <c r="AB98" s="15"/>
      <c r="AC98" s="15"/>
    </row>
    <row r="99" ht="14.25" customHeight="1">
      <c r="A99" s="15"/>
      <c r="B99" s="15"/>
      <c r="C99" s="15"/>
      <c r="D99" s="15"/>
      <c r="E99" s="15"/>
      <c r="F99" s="15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15"/>
      <c r="Z99" s="15"/>
      <c r="AA99" s="15"/>
      <c r="AB99" s="15"/>
      <c r="AC99" s="15"/>
    </row>
    <row r="100" ht="14.25" customHeight="1">
      <c r="A100" s="15"/>
      <c r="B100" s="15"/>
      <c r="C100" s="15"/>
      <c r="D100" s="15"/>
      <c r="E100" s="15"/>
      <c r="F100" s="15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15"/>
      <c r="Z100" s="15"/>
      <c r="AA100" s="15"/>
      <c r="AB100" s="15"/>
      <c r="AC100" s="15"/>
    </row>
    <row r="101" ht="14.25" customHeight="1">
      <c r="A101" s="15"/>
      <c r="B101" s="15"/>
      <c r="C101" s="15"/>
      <c r="D101" s="15"/>
      <c r="E101" s="15"/>
      <c r="F101" s="15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15"/>
      <c r="Z101" s="15"/>
      <c r="AA101" s="15"/>
      <c r="AB101" s="15"/>
      <c r="AC101" s="15"/>
    </row>
    <row r="102" ht="14.25" customHeight="1">
      <c r="A102" s="15"/>
      <c r="B102" s="15"/>
      <c r="C102" s="15"/>
      <c r="D102" s="15"/>
      <c r="E102" s="15"/>
      <c r="F102" s="15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15"/>
      <c r="Z102" s="15"/>
      <c r="AA102" s="15"/>
      <c r="AB102" s="15"/>
      <c r="AC102" s="15"/>
    </row>
    <row r="103" ht="14.25" customHeight="1">
      <c r="A103" s="15"/>
      <c r="B103" s="15"/>
      <c r="C103" s="15"/>
      <c r="D103" s="15"/>
      <c r="E103" s="15"/>
      <c r="F103" s="15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15"/>
      <c r="Z103" s="15"/>
      <c r="AA103" s="15"/>
      <c r="AB103" s="15"/>
      <c r="AC103" s="15"/>
    </row>
    <row r="104" ht="14.25" customHeight="1">
      <c r="A104" s="15"/>
      <c r="B104" s="15"/>
      <c r="C104" s="15"/>
      <c r="D104" s="15"/>
      <c r="E104" s="15"/>
      <c r="F104" s="15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15"/>
      <c r="Z104" s="15"/>
      <c r="AA104" s="15"/>
      <c r="AB104" s="15"/>
      <c r="AC104" s="15"/>
    </row>
    <row r="105" ht="14.25" customHeight="1">
      <c r="A105" s="15"/>
      <c r="B105" s="15"/>
      <c r="C105" s="15"/>
      <c r="D105" s="15"/>
      <c r="E105" s="15"/>
      <c r="F105" s="15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15"/>
      <c r="Z105" s="15"/>
      <c r="AA105" s="15"/>
      <c r="AB105" s="15"/>
      <c r="AC105" s="15"/>
    </row>
    <row r="106" ht="14.25" customHeight="1">
      <c r="A106" s="15"/>
      <c r="B106" s="15"/>
      <c r="C106" s="15"/>
      <c r="D106" s="15"/>
      <c r="E106" s="15"/>
      <c r="F106" s="15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15"/>
      <c r="Z106" s="15"/>
      <c r="AA106" s="15"/>
      <c r="AB106" s="15"/>
      <c r="AC106" s="15"/>
    </row>
    <row r="107" ht="14.25" customHeight="1">
      <c r="A107" s="15"/>
      <c r="B107" s="15"/>
      <c r="C107" s="15"/>
      <c r="D107" s="15"/>
      <c r="E107" s="15"/>
      <c r="F107" s="15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15"/>
      <c r="Z107" s="15"/>
      <c r="AA107" s="15"/>
      <c r="AB107" s="15"/>
      <c r="AC107" s="15"/>
    </row>
    <row r="108" ht="14.25" customHeight="1">
      <c r="A108" s="15"/>
      <c r="B108" s="15"/>
      <c r="C108" s="15"/>
      <c r="D108" s="15"/>
      <c r="E108" s="15"/>
      <c r="F108" s="15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15"/>
      <c r="Z108" s="15"/>
      <c r="AA108" s="15"/>
      <c r="AB108" s="15"/>
      <c r="AC108" s="15"/>
    </row>
    <row r="109" ht="14.25" customHeight="1">
      <c r="A109" s="15"/>
      <c r="B109" s="15"/>
      <c r="C109" s="15"/>
      <c r="D109" s="15"/>
      <c r="E109" s="15"/>
      <c r="F109" s="15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15"/>
      <c r="Z109" s="15"/>
      <c r="AA109" s="15"/>
      <c r="AB109" s="15"/>
      <c r="AC109" s="15"/>
    </row>
    <row r="110" ht="14.25" customHeight="1">
      <c r="A110" s="15"/>
      <c r="B110" s="15"/>
      <c r="C110" s="15"/>
      <c r="D110" s="15"/>
      <c r="E110" s="15"/>
      <c r="F110" s="15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15"/>
      <c r="Z110" s="15"/>
      <c r="AA110" s="15"/>
      <c r="AB110" s="15"/>
      <c r="AC110" s="15"/>
    </row>
    <row r="111" ht="14.25" customHeight="1">
      <c r="A111" s="15"/>
      <c r="B111" s="15"/>
      <c r="C111" s="15"/>
      <c r="D111" s="15"/>
      <c r="E111" s="15"/>
      <c r="F111" s="15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15"/>
      <c r="Z111" s="15"/>
      <c r="AA111" s="15"/>
      <c r="AB111" s="15"/>
      <c r="AC111" s="15"/>
    </row>
    <row r="112" ht="14.25" customHeight="1">
      <c r="A112" s="15"/>
      <c r="B112" s="15"/>
      <c r="C112" s="15"/>
      <c r="D112" s="15"/>
      <c r="E112" s="15"/>
      <c r="F112" s="15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15"/>
      <c r="Z112" s="15"/>
      <c r="AA112" s="15"/>
      <c r="AB112" s="15"/>
      <c r="AC112" s="15"/>
    </row>
    <row r="113" ht="14.25" customHeight="1">
      <c r="A113" s="15"/>
      <c r="B113" s="15"/>
      <c r="C113" s="15"/>
      <c r="D113" s="15"/>
      <c r="E113" s="15"/>
      <c r="F113" s="15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15"/>
      <c r="Z113" s="15"/>
      <c r="AA113" s="15"/>
      <c r="AB113" s="15"/>
      <c r="AC113" s="15"/>
    </row>
    <row r="114" ht="14.25" customHeight="1">
      <c r="A114" s="15"/>
      <c r="B114" s="15"/>
      <c r="C114" s="15"/>
      <c r="D114" s="15"/>
      <c r="E114" s="15"/>
      <c r="F114" s="15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15"/>
      <c r="Z114" s="15"/>
      <c r="AA114" s="15"/>
      <c r="AB114" s="15"/>
      <c r="AC114" s="15"/>
    </row>
    <row r="115" ht="14.25" customHeight="1">
      <c r="A115" s="15"/>
      <c r="B115" s="15"/>
      <c r="C115" s="15"/>
      <c r="D115" s="15"/>
      <c r="E115" s="15"/>
      <c r="F115" s="15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15"/>
      <c r="Z115" s="15"/>
      <c r="AA115" s="15"/>
      <c r="AB115" s="15"/>
      <c r="AC115" s="15"/>
    </row>
    <row r="116" ht="14.25" customHeight="1">
      <c r="A116" s="15"/>
      <c r="B116" s="15"/>
      <c r="C116" s="15"/>
      <c r="D116" s="15"/>
      <c r="E116" s="15"/>
      <c r="F116" s="15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15"/>
      <c r="Z116" s="15"/>
      <c r="AA116" s="15"/>
      <c r="AB116" s="15"/>
      <c r="AC116" s="15"/>
    </row>
    <row r="117" ht="14.25" customHeight="1">
      <c r="A117" s="15"/>
      <c r="B117" s="15"/>
      <c r="C117" s="15"/>
      <c r="D117" s="15"/>
      <c r="E117" s="15"/>
      <c r="F117" s="15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15"/>
      <c r="Z117" s="15"/>
      <c r="AA117" s="15"/>
      <c r="AB117" s="15"/>
      <c r="AC117" s="15"/>
    </row>
    <row r="118" ht="14.25" customHeight="1">
      <c r="A118" s="15"/>
      <c r="B118" s="15"/>
      <c r="C118" s="15"/>
      <c r="D118" s="15"/>
      <c r="E118" s="15"/>
      <c r="F118" s="15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15"/>
      <c r="Z118" s="15"/>
      <c r="AA118" s="15"/>
      <c r="AB118" s="15"/>
      <c r="AC118" s="15"/>
    </row>
    <row r="119" ht="14.25" customHeight="1">
      <c r="A119" s="15"/>
      <c r="B119" s="15"/>
      <c r="C119" s="15"/>
      <c r="D119" s="15"/>
      <c r="E119" s="15"/>
      <c r="F119" s="15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15"/>
      <c r="Z119" s="15"/>
      <c r="AA119" s="15"/>
      <c r="AB119" s="15"/>
      <c r="AC119" s="15"/>
    </row>
    <row r="120" ht="14.25" customHeight="1">
      <c r="A120" s="15"/>
      <c r="B120" s="15"/>
      <c r="C120" s="15"/>
      <c r="D120" s="15"/>
      <c r="E120" s="15"/>
      <c r="F120" s="15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15"/>
      <c r="Z120" s="15"/>
      <c r="AA120" s="15"/>
      <c r="AB120" s="15"/>
      <c r="AC120" s="15"/>
    </row>
    <row r="121" ht="14.25" customHeight="1">
      <c r="A121" s="15"/>
      <c r="B121" s="15"/>
      <c r="C121" s="15"/>
      <c r="D121" s="15"/>
      <c r="E121" s="15"/>
      <c r="F121" s="15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15"/>
      <c r="Z121" s="15"/>
      <c r="AA121" s="15"/>
      <c r="AB121" s="15"/>
      <c r="AC121" s="15"/>
    </row>
    <row r="122" ht="14.25" customHeight="1">
      <c r="A122" s="15"/>
      <c r="B122" s="15"/>
      <c r="C122" s="15"/>
      <c r="D122" s="15"/>
      <c r="E122" s="15"/>
      <c r="F122" s="15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15"/>
      <c r="Z122" s="15"/>
      <c r="AA122" s="15"/>
      <c r="AB122" s="15"/>
      <c r="AC122" s="15"/>
    </row>
    <row r="123" ht="14.25" customHeight="1">
      <c r="A123" s="15"/>
      <c r="B123" s="15"/>
      <c r="C123" s="15"/>
      <c r="D123" s="15"/>
      <c r="E123" s="15"/>
      <c r="F123" s="15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15"/>
      <c r="Z123" s="15"/>
      <c r="AA123" s="15"/>
      <c r="AB123" s="15"/>
      <c r="AC123" s="15"/>
    </row>
    <row r="124" ht="14.25" customHeight="1">
      <c r="A124" s="15"/>
      <c r="B124" s="15"/>
      <c r="C124" s="15"/>
      <c r="D124" s="15"/>
      <c r="E124" s="15"/>
      <c r="F124" s="15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15"/>
      <c r="Z124" s="15"/>
      <c r="AA124" s="15"/>
      <c r="AB124" s="15"/>
      <c r="AC124" s="15"/>
    </row>
    <row r="125" ht="14.25" customHeight="1">
      <c r="A125" s="15"/>
      <c r="B125" s="15"/>
      <c r="C125" s="15"/>
      <c r="D125" s="15"/>
      <c r="E125" s="15"/>
      <c r="F125" s="15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15"/>
      <c r="Z125" s="15"/>
      <c r="AA125" s="15"/>
      <c r="AB125" s="15"/>
      <c r="AC125" s="15"/>
    </row>
    <row r="126" ht="14.25" customHeight="1">
      <c r="A126" s="15"/>
      <c r="B126" s="15"/>
      <c r="C126" s="15"/>
      <c r="D126" s="15"/>
      <c r="E126" s="15"/>
      <c r="F126" s="15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15"/>
      <c r="Z126" s="15"/>
      <c r="AA126" s="15"/>
      <c r="AB126" s="15"/>
      <c r="AC126" s="15"/>
    </row>
    <row r="127" ht="14.25" customHeight="1">
      <c r="A127" s="15"/>
      <c r="B127" s="15"/>
      <c r="C127" s="15"/>
      <c r="D127" s="15"/>
      <c r="E127" s="15"/>
      <c r="F127" s="15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15"/>
      <c r="Z127" s="15"/>
      <c r="AA127" s="15"/>
      <c r="AB127" s="15"/>
      <c r="AC127" s="15"/>
    </row>
    <row r="128" ht="14.25" customHeight="1">
      <c r="A128" s="15"/>
      <c r="B128" s="15"/>
      <c r="C128" s="15"/>
      <c r="D128" s="15"/>
      <c r="E128" s="15"/>
      <c r="F128" s="15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15"/>
      <c r="Z128" s="15"/>
      <c r="AA128" s="15"/>
      <c r="AB128" s="15"/>
      <c r="AC128" s="15"/>
    </row>
    <row r="129" ht="14.25" customHeight="1">
      <c r="A129" s="15"/>
      <c r="B129" s="15"/>
      <c r="C129" s="15"/>
      <c r="D129" s="15"/>
      <c r="E129" s="15"/>
      <c r="F129" s="15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15"/>
      <c r="Z129" s="15"/>
      <c r="AA129" s="15"/>
      <c r="AB129" s="15"/>
      <c r="AC129" s="15"/>
    </row>
    <row r="130" ht="14.25" customHeight="1">
      <c r="A130" s="15"/>
      <c r="B130" s="15"/>
      <c r="C130" s="15"/>
      <c r="D130" s="15"/>
      <c r="E130" s="15"/>
      <c r="F130" s="15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15"/>
      <c r="Z130" s="15"/>
      <c r="AA130" s="15"/>
      <c r="AB130" s="15"/>
      <c r="AC130" s="15"/>
    </row>
    <row r="131" ht="14.25" customHeight="1">
      <c r="A131" s="15"/>
      <c r="B131" s="15"/>
      <c r="C131" s="15"/>
      <c r="D131" s="15"/>
      <c r="E131" s="15"/>
      <c r="F131" s="15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15"/>
      <c r="Z131" s="15"/>
      <c r="AA131" s="15"/>
      <c r="AB131" s="15"/>
      <c r="AC131" s="15"/>
    </row>
    <row r="132" ht="14.25" customHeight="1">
      <c r="A132" s="15"/>
      <c r="B132" s="15"/>
      <c r="C132" s="15"/>
      <c r="D132" s="15"/>
      <c r="E132" s="15"/>
      <c r="F132" s="15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15"/>
      <c r="Z132" s="15"/>
      <c r="AA132" s="15"/>
      <c r="AB132" s="15"/>
      <c r="AC132" s="15"/>
    </row>
    <row r="133" ht="14.25" customHeight="1">
      <c r="A133" s="15"/>
      <c r="B133" s="15"/>
      <c r="C133" s="15"/>
      <c r="D133" s="15"/>
      <c r="E133" s="15"/>
      <c r="F133" s="15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15"/>
      <c r="Z133" s="15"/>
      <c r="AA133" s="15"/>
      <c r="AB133" s="15"/>
      <c r="AC133" s="15"/>
    </row>
    <row r="134" ht="14.25" customHeight="1">
      <c r="A134" s="15"/>
      <c r="B134" s="15"/>
      <c r="C134" s="15"/>
      <c r="D134" s="15"/>
      <c r="E134" s="15"/>
      <c r="F134" s="15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15"/>
      <c r="Z134" s="15"/>
      <c r="AA134" s="15"/>
      <c r="AB134" s="15"/>
      <c r="AC134" s="15"/>
    </row>
    <row r="135" ht="14.25" customHeight="1">
      <c r="A135" s="15"/>
      <c r="B135" s="15"/>
      <c r="C135" s="15"/>
      <c r="D135" s="15"/>
      <c r="E135" s="15"/>
      <c r="F135" s="15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15"/>
      <c r="Z135" s="15"/>
      <c r="AA135" s="15"/>
      <c r="AB135" s="15"/>
      <c r="AC135" s="15"/>
    </row>
    <row r="136" ht="14.25" customHeight="1">
      <c r="A136" s="15"/>
      <c r="B136" s="15"/>
      <c r="C136" s="15"/>
      <c r="D136" s="15"/>
      <c r="E136" s="15"/>
      <c r="F136" s="15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15"/>
      <c r="Z136" s="15"/>
      <c r="AA136" s="15"/>
      <c r="AB136" s="15"/>
      <c r="AC136" s="15"/>
    </row>
    <row r="137" ht="14.25" customHeight="1">
      <c r="A137" s="15"/>
      <c r="B137" s="15"/>
      <c r="C137" s="15"/>
      <c r="D137" s="15"/>
      <c r="E137" s="15"/>
      <c r="F137" s="15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15"/>
      <c r="Z137" s="15"/>
      <c r="AA137" s="15"/>
      <c r="AB137" s="15"/>
      <c r="AC137" s="15"/>
    </row>
    <row r="138" ht="14.25" customHeight="1">
      <c r="A138" s="15"/>
      <c r="B138" s="15"/>
      <c r="C138" s="15"/>
      <c r="D138" s="15"/>
      <c r="E138" s="15"/>
      <c r="F138" s="15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15"/>
      <c r="Z138" s="15"/>
      <c r="AA138" s="15"/>
      <c r="AB138" s="15"/>
      <c r="AC138" s="15"/>
    </row>
    <row r="139" ht="14.25" customHeight="1">
      <c r="A139" s="15"/>
      <c r="B139" s="15"/>
      <c r="C139" s="15"/>
      <c r="D139" s="15"/>
      <c r="E139" s="15"/>
      <c r="F139" s="15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15"/>
      <c r="Z139" s="15"/>
      <c r="AA139" s="15"/>
      <c r="AB139" s="15"/>
      <c r="AC139" s="15"/>
    </row>
    <row r="140" ht="14.25" customHeight="1">
      <c r="A140" s="15"/>
      <c r="B140" s="15"/>
      <c r="C140" s="15"/>
      <c r="D140" s="15"/>
      <c r="E140" s="15"/>
      <c r="F140" s="15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15"/>
      <c r="Z140" s="15"/>
      <c r="AA140" s="15"/>
      <c r="AB140" s="15"/>
      <c r="AC140" s="15"/>
    </row>
    <row r="141" ht="14.25" customHeight="1">
      <c r="A141" s="15"/>
      <c r="B141" s="15"/>
      <c r="C141" s="15"/>
      <c r="D141" s="15"/>
      <c r="E141" s="15"/>
      <c r="F141" s="15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15"/>
      <c r="Z141" s="15"/>
      <c r="AA141" s="15"/>
      <c r="AB141" s="15"/>
      <c r="AC141" s="15"/>
    </row>
    <row r="142" ht="14.25" customHeight="1">
      <c r="A142" s="15"/>
      <c r="B142" s="15"/>
      <c r="C142" s="15"/>
      <c r="D142" s="15"/>
      <c r="E142" s="15"/>
      <c r="F142" s="15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15"/>
      <c r="Z142" s="15"/>
      <c r="AA142" s="15"/>
      <c r="AB142" s="15"/>
      <c r="AC142" s="15"/>
    </row>
    <row r="143" ht="14.25" customHeight="1">
      <c r="A143" s="15"/>
      <c r="B143" s="15"/>
      <c r="C143" s="15"/>
      <c r="D143" s="15"/>
      <c r="E143" s="15"/>
      <c r="F143" s="15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15"/>
      <c r="Z143" s="15"/>
      <c r="AA143" s="15"/>
      <c r="AB143" s="15"/>
      <c r="AC143" s="15"/>
    </row>
    <row r="144" ht="14.25" customHeight="1">
      <c r="A144" s="15"/>
      <c r="B144" s="15"/>
      <c r="C144" s="15"/>
      <c r="D144" s="15"/>
      <c r="E144" s="15"/>
      <c r="F144" s="15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15"/>
      <c r="Z144" s="15"/>
      <c r="AA144" s="15"/>
      <c r="AB144" s="15"/>
      <c r="AC144" s="15"/>
    </row>
    <row r="145" ht="14.25" customHeight="1">
      <c r="A145" s="15"/>
      <c r="B145" s="15"/>
      <c r="C145" s="15"/>
      <c r="D145" s="15"/>
      <c r="E145" s="15"/>
      <c r="F145" s="15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15"/>
      <c r="Z145" s="15"/>
      <c r="AA145" s="15"/>
      <c r="AB145" s="15"/>
      <c r="AC145" s="15"/>
    </row>
    <row r="146" ht="14.25" customHeight="1">
      <c r="A146" s="15"/>
      <c r="B146" s="15"/>
      <c r="C146" s="15"/>
      <c r="D146" s="15"/>
      <c r="E146" s="15"/>
      <c r="F146" s="15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15"/>
      <c r="Z146" s="15"/>
      <c r="AA146" s="15"/>
      <c r="AB146" s="15"/>
      <c r="AC146" s="15"/>
    </row>
    <row r="147" ht="14.25" customHeight="1">
      <c r="A147" s="15"/>
      <c r="B147" s="15"/>
      <c r="C147" s="15"/>
      <c r="D147" s="15"/>
      <c r="E147" s="15"/>
      <c r="F147" s="15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15"/>
      <c r="Z147" s="15"/>
      <c r="AA147" s="15"/>
      <c r="AB147" s="15"/>
      <c r="AC147" s="15"/>
    </row>
    <row r="148" ht="14.25" customHeight="1">
      <c r="A148" s="15"/>
      <c r="B148" s="15"/>
      <c r="C148" s="15"/>
      <c r="D148" s="15"/>
      <c r="E148" s="15"/>
      <c r="F148" s="15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15"/>
      <c r="Z148" s="15"/>
      <c r="AA148" s="15"/>
      <c r="AB148" s="15"/>
      <c r="AC148" s="15"/>
    </row>
    <row r="149" ht="14.25" customHeight="1">
      <c r="A149" s="15"/>
      <c r="B149" s="15"/>
      <c r="C149" s="15"/>
      <c r="D149" s="15"/>
      <c r="E149" s="15"/>
      <c r="F149" s="15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15"/>
      <c r="Z149" s="15"/>
      <c r="AA149" s="15"/>
      <c r="AB149" s="15"/>
      <c r="AC149" s="15"/>
    </row>
    <row r="150" ht="14.25" customHeight="1">
      <c r="A150" s="15"/>
      <c r="B150" s="15"/>
      <c r="C150" s="15"/>
      <c r="D150" s="15"/>
      <c r="E150" s="15"/>
      <c r="F150" s="15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15"/>
      <c r="Z150" s="15"/>
      <c r="AA150" s="15"/>
      <c r="AB150" s="15"/>
      <c r="AC150" s="15"/>
    </row>
    <row r="151" ht="14.25" customHeight="1">
      <c r="A151" s="15"/>
      <c r="B151" s="15"/>
      <c r="C151" s="15"/>
      <c r="D151" s="15"/>
      <c r="E151" s="15"/>
      <c r="F151" s="15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15"/>
      <c r="Z151" s="15"/>
      <c r="AA151" s="15"/>
      <c r="AB151" s="15"/>
      <c r="AC151" s="15"/>
    </row>
    <row r="152" ht="14.25" customHeight="1">
      <c r="A152" s="15"/>
      <c r="B152" s="15"/>
      <c r="C152" s="15"/>
      <c r="D152" s="15"/>
      <c r="E152" s="15"/>
      <c r="F152" s="15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15"/>
      <c r="Z152" s="15"/>
      <c r="AA152" s="15"/>
      <c r="AB152" s="15"/>
      <c r="AC152" s="15"/>
    </row>
    <row r="153" ht="14.25" customHeight="1">
      <c r="A153" s="15"/>
      <c r="B153" s="15"/>
      <c r="C153" s="15"/>
      <c r="D153" s="15"/>
      <c r="E153" s="15"/>
      <c r="F153" s="15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15"/>
      <c r="Z153" s="15"/>
      <c r="AA153" s="15"/>
      <c r="AB153" s="15"/>
      <c r="AC153" s="15"/>
    </row>
    <row r="154" ht="14.25" customHeight="1">
      <c r="A154" s="15"/>
      <c r="B154" s="15"/>
      <c r="C154" s="15"/>
      <c r="D154" s="15"/>
      <c r="E154" s="15"/>
      <c r="F154" s="15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15"/>
      <c r="Z154" s="15"/>
      <c r="AA154" s="15"/>
      <c r="AB154" s="15"/>
      <c r="AC154" s="15"/>
    </row>
    <row r="155" ht="14.25" customHeight="1">
      <c r="A155" s="15"/>
      <c r="B155" s="15"/>
      <c r="C155" s="15"/>
      <c r="D155" s="15"/>
      <c r="E155" s="15"/>
      <c r="F155" s="15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15"/>
      <c r="Z155" s="15"/>
      <c r="AA155" s="15"/>
      <c r="AB155" s="15"/>
      <c r="AC155" s="15"/>
    </row>
    <row r="156" ht="14.25" customHeight="1">
      <c r="A156" s="15"/>
      <c r="B156" s="15"/>
      <c r="C156" s="15"/>
      <c r="D156" s="15"/>
      <c r="E156" s="15"/>
      <c r="F156" s="15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15"/>
      <c r="Z156" s="15"/>
      <c r="AA156" s="15"/>
      <c r="AB156" s="15"/>
      <c r="AC156" s="15"/>
    </row>
    <row r="157" ht="14.25" customHeight="1">
      <c r="A157" s="15"/>
      <c r="B157" s="15"/>
      <c r="C157" s="15"/>
      <c r="D157" s="15"/>
      <c r="E157" s="15"/>
      <c r="F157" s="15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15"/>
      <c r="Z157" s="15"/>
      <c r="AA157" s="15"/>
      <c r="AB157" s="15"/>
      <c r="AC157" s="15"/>
    </row>
    <row r="158" ht="14.25" customHeight="1">
      <c r="A158" s="15"/>
      <c r="B158" s="15"/>
      <c r="C158" s="15"/>
      <c r="D158" s="15"/>
      <c r="E158" s="15"/>
      <c r="F158" s="15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15"/>
      <c r="Z158" s="15"/>
      <c r="AA158" s="15"/>
      <c r="AB158" s="15"/>
      <c r="AC158" s="15"/>
    </row>
    <row r="159" ht="14.25" customHeight="1">
      <c r="A159" s="15"/>
      <c r="B159" s="15"/>
      <c r="C159" s="15"/>
      <c r="D159" s="15"/>
      <c r="E159" s="15"/>
      <c r="F159" s="15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15"/>
      <c r="Z159" s="15"/>
      <c r="AA159" s="15"/>
      <c r="AB159" s="15"/>
      <c r="AC159" s="15"/>
    </row>
    <row r="160" ht="14.25" customHeight="1">
      <c r="A160" s="15"/>
      <c r="B160" s="15"/>
      <c r="C160" s="15"/>
      <c r="D160" s="15"/>
      <c r="E160" s="15"/>
      <c r="F160" s="15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15"/>
      <c r="Z160" s="15"/>
      <c r="AA160" s="15"/>
      <c r="AB160" s="15"/>
      <c r="AC160" s="15"/>
    </row>
    <row r="161" ht="14.25" customHeight="1">
      <c r="A161" s="15"/>
      <c r="B161" s="15"/>
      <c r="C161" s="15"/>
      <c r="D161" s="15"/>
      <c r="E161" s="15"/>
      <c r="F161" s="15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15"/>
      <c r="Z161" s="15"/>
      <c r="AA161" s="15"/>
      <c r="AB161" s="15"/>
      <c r="AC161" s="15"/>
    </row>
    <row r="162" ht="14.25" customHeight="1">
      <c r="A162" s="15"/>
      <c r="B162" s="15"/>
      <c r="C162" s="15"/>
      <c r="D162" s="15"/>
      <c r="E162" s="15"/>
      <c r="F162" s="15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15"/>
      <c r="Z162" s="15"/>
      <c r="AA162" s="15"/>
      <c r="AB162" s="15"/>
      <c r="AC162" s="15"/>
    </row>
    <row r="163" ht="14.25" customHeight="1">
      <c r="A163" s="15"/>
      <c r="B163" s="15"/>
      <c r="C163" s="15"/>
      <c r="D163" s="15"/>
      <c r="E163" s="15"/>
      <c r="F163" s="15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15"/>
      <c r="Z163" s="15"/>
      <c r="AA163" s="15"/>
      <c r="AB163" s="15"/>
      <c r="AC163" s="15"/>
    </row>
    <row r="164" ht="14.25" customHeight="1">
      <c r="A164" s="15"/>
      <c r="B164" s="15"/>
      <c r="C164" s="15"/>
      <c r="D164" s="15"/>
      <c r="E164" s="15"/>
      <c r="F164" s="15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15"/>
      <c r="Z164" s="15"/>
      <c r="AA164" s="15"/>
      <c r="AB164" s="15"/>
      <c r="AC164" s="15"/>
    </row>
    <row r="165" ht="14.25" customHeight="1">
      <c r="A165" s="15"/>
      <c r="B165" s="15"/>
      <c r="C165" s="15"/>
      <c r="D165" s="15"/>
      <c r="E165" s="15"/>
      <c r="F165" s="15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15"/>
      <c r="Z165" s="15"/>
      <c r="AA165" s="15"/>
      <c r="AB165" s="15"/>
      <c r="AC165" s="15"/>
    </row>
    <row r="166" ht="14.25" customHeight="1">
      <c r="A166" s="15"/>
      <c r="B166" s="15"/>
      <c r="C166" s="15"/>
      <c r="D166" s="15"/>
      <c r="E166" s="15"/>
      <c r="F166" s="15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15"/>
      <c r="Z166" s="15"/>
      <c r="AA166" s="15"/>
      <c r="AB166" s="15"/>
      <c r="AC166" s="15"/>
    </row>
    <row r="167" ht="14.25" customHeight="1">
      <c r="A167" s="15"/>
      <c r="B167" s="15"/>
      <c r="C167" s="15"/>
      <c r="D167" s="15"/>
      <c r="E167" s="15"/>
      <c r="F167" s="15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15"/>
      <c r="Z167" s="15"/>
      <c r="AA167" s="15"/>
      <c r="AB167" s="15"/>
      <c r="AC167" s="15"/>
    </row>
    <row r="168" ht="14.25" customHeight="1">
      <c r="A168" s="15"/>
      <c r="B168" s="15"/>
      <c r="C168" s="15"/>
      <c r="D168" s="15"/>
      <c r="E168" s="15"/>
      <c r="F168" s="15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15"/>
      <c r="Z168" s="15"/>
      <c r="AA168" s="15"/>
      <c r="AB168" s="15"/>
      <c r="AC168" s="15"/>
    </row>
    <row r="169" ht="14.25" customHeight="1">
      <c r="A169" s="15"/>
      <c r="B169" s="15"/>
      <c r="C169" s="15"/>
      <c r="D169" s="15"/>
      <c r="E169" s="15"/>
      <c r="F169" s="15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15"/>
      <c r="Z169" s="15"/>
      <c r="AA169" s="15"/>
      <c r="AB169" s="15"/>
      <c r="AC169" s="15"/>
    </row>
    <row r="170" ht="14.25" customHeight="1">
      <c r="A170" s="15"/>
      <c r="B170" s="15"/>
      <c r="C170" s="15"/>
      <c r="D170" s="15"/>
      <c r="E170" s="15"/>
      <c r="F170" s="15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15"/>
      <c r="Z170" s="15"/>
      <c r="AA170" s="15"/>
      <c r="AB170" s="15"/>
      <c r="AC170" s="15"/>
    </row>
    <row r="171" ht="14.25" customHeight="1">
      <c r="A171" s="15"/>
      <c r="B171" s="15"/>
      <c r="C171" s="15"/>
      <c r="D171" s="15"/>
      <c r="E171" s="15"/>
      <c r="F171" s="15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15"/>
      <c r="Z171" s="15"/>
      <c r="AA171" s="15"/>
      <c r="AB171" s="15"/>
      <c r="AC171" s="15"/>
    </row>
    <row r="172" ht="14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ht="14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ht="14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ht="14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ht="14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ht="14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ht="14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ht="14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ht="14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ht="14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ht="14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ht="14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ht="14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ht="14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ht="14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ht="14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ht="14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ht="14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ht="14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ht="14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ht="14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ht="14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ht="14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ht="14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ht="14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ht="14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ht="14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ht="14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ht="14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ht="14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ht="14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ht="14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ht="14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ht="14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ht="14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ht="14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ht="14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ht="14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ht="14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ht="14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ht="14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ht="14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ht="14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ht="14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ht="14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ht="14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ht="14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ht="14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ht="14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ht="14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ht="14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ht="14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ht="14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ht="14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ht="14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ht="14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ht="14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ht="14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ht="14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ht="14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ht="14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ht="14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ht="14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ht="14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ht="14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ht="14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ht="14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ht="14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ht="14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ht="14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ht="14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ht="14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ht="14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ht="14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ht="14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ht="14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ht="14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ht="14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ht="14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ht="14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ht="14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ht="14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ht="14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ht="14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ht="14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ht="14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ht="14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ht="14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ht="14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ht="14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ht="14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ht="14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ht="14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ht="14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ht="14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ht="14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ht="14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ht="14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ht="14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ht="14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ht="14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ht="14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ht="14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ht="14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ht="14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ht="14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ht="14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ht="14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ht="14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ht="14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ht="14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ht="14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ht="14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ht="14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ht="14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ht="14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ht="14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ht="14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ht="14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ht="14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ht="14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ht="14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ht="14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ht="14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ht="14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ht="14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ht="14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ht="14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ht="14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ht="14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ht="14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ht="14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ht="14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ht="14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ht="14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ht="14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ht="14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ht="14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ht="14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ht="14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ht="14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ht="14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ht="14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ht="14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ht="14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ht="14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ht="14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ht="14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ht="14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ht="14.25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ht="14.25" customHeight="1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</sheetData>
  <mergeCells count="33">
    <mergeCell ref="A1:B2"/>
    <mergeCell ref="C1:C2"/>
    <mergeCell ref="D1:U2"/>
    <mergeCell ref="V1:X1"/>
    <mergeCell ref="V2:X2"/>
    <mergeCell ref="A4:C4"/>
    <mergeCell ref="D4:E4"/>
    <mergeCell ref="S7:S8"/>
    <mergeCell ref="T7:T8"/>
    <mergeCell ref="U7:U8"/>
    <mergeCell ref="V7:W7"/>
    <mergeCell ref="G4:I4"/>
    <mergeCell ref="J4:K4"/>
    <mergeCell ref="A6:J6"/>
    <mergeCell ref="O6:R6"/>
    <mergeCell ref="S6:X6"/>
    <mergeCell ref="A7:A8"/>
    <mergeCell ref="J7:J8"/>
    <mergeCell ref="X7:X8"/>
    <mergeCell ref="B7:B8"/>
    <mergeCell ref="C7:C8"/>
    <mergeCell ref="D7:D8"/>
    <mergeCell ref="E7:E8"/>
    <mergeCell ref="F7:F8"/>
    <mergeCell ref="G7:G8"/>
    <mergeCell ref="H7:H8"/>
    <mergeCell ref="I7:I8"/>
    <mergeCell ref="K6:N6"/>
    <mergeCell ref="K7:N7"/>
    <mergeCell ref="O7:O8"/>
    <mergeCell ref="P7:P8"/>
    <mergeCell ref="Q7:Q8"/>
    <mergeCell ref="R7:R8"/>
  </mergeCells>
  <conditionalFormatting sqref="A6 E9 G9 G31:H1002">
    <cfRule type="cellIs" dxfId="0" priority="1" operator="equal">
      <formula>#REF!</formula>
    </cfRule>
  </conditionalFormatting>
  <conditionalFormatting sqref="A6 E9 G31:H1002">
    <cfRule type="cellIs" dxfId="1" priority="2" operator="equal">
      <formula>#REF!</formula>
    </cfRule>
  </conditionalFormatting>
  <conditionalFormatting sqref="A6 E9 G31:H1002">
    <cfRule type="cellIs" dxfId="2" priority="3" operator="equal">
      <formula>#REF!</formula>
    </cfRule>
  </conditionalFormatting>
  <conditionalFormatting sqref="A6 G31:H1002">
    <cfRule type="cellIs" dxfId="0" priority="4" operator="equal">
      <formula>#REF!</formula>
    </cfRule>
  </conditionalFormatting>
  <conditionalFormatting sqref="A6:A7 E9 G9:G27 G31:H1002">
    <cfRule type="cellIs" dxfId="3" priority="5" operator="equal">
      <formula>#REF!</formula>
    </cfRule>
  </conditionalFormatting>
  <conditionalFormatting sqref="A7">
    <cfRule type="cellIs" dxfId="0" priority="6" operator="equal">
      <formula>#REF!</formula>
    </cfRule>
  </conditionalFormatting>
  <conditionalFormatting sqref="A7">
    <cfRule type="cellIs" dxfId="3" priority="7" operator="equal">
      <formula>#REF!</formula>
    </cfRule>
  </conditionalFormatting>
  <conditionalFormatting sqref="A7">
    <cfRule type="cellIs" dxfId="0" priority="8" operator="equal">
      <formula>#REF!</formula>
    </cfRule>
  </conditionalFormatting>
  <conditionalFormatting sqref="A7">
    <cfRule type="cellIs" dxfId="3" priority="9" operator="equal">
      <formula>#REF!</formula>
    </cfRule>
  </conditionalFormatting>
  <conditionalFormatting sqref="A7">
    <cfRule type="cellIs" dxfId="2" priority="10" operator="equal">
      <formula>#REF!</formula>
    </cfRule>
  </conditionalFormatting>
  <conditionalFormatting sqref="A7">
    <cfRule type="cellIs" dxfId="1" priority="11" operator="equal">
      <formula>#REF!</formula>
    </cfRule>
  </conditionalFormatting>
  <conditionalFormatting sqref="E9 G9:G27">
    <cfRule type="cellIs" dxfId="0" priority="12" operator="equal">
      <formula>#REF!</formula>
    </cfRule>
  </conditionalFormatting>
  <conditionalFormatting sqref="G9:G27">
    <cfRule type="cellIs" dxfId="3" priority="13" operator="equal">
      <formula>#REF!</formula>
    </cfRule>
  </conditionalFormatting>
  <conditionalFormatting sqref="G9:G27">
    <cfRule type="cellIs" dxfId="2" priority="14" operator="equal">
      <formula>#REF!</formula>
    </cfRule>
  </conditionalFormatting>
  <conditionalFormatting sqref="G9:G27">
    <cfRule type="cellIs" dxfId="1" priority="15" operator="equal">
      <formula>#REF!</formula>
    </cfRule>
  </conditionalFormatting>
  <conditionalFormatting sqref="G10:G27">
    <cfRule type="cellIs" dxfId="0" priority="16" operator="equal">
      <formula>#REF!</formula>
    </cfRule>
  </conditionalFormatting>
  <conditionalFormatting sqref="N31:N1002">
    <cfRule type="cellIs" dxfId="4" priority="17" operator="equal">
      <formula>#REF!</formula>
    </cfRule>
  </conditionalFormatting>
  <conditionalFormatting sqref="N31:N1002">
    <cfRule type="cellIs" dxfId="5" priority="18" operator="equal">
      <formula>#REF!</formula>
    </cfRule>
  </conditionalFormatting>
  <conditionalFormatting sqref="N31:N1002">
    <cfRule type="cellIs" dxfId="6" priority="19" operator="equal">
      <formula>#REF!</formula>
    </cfRule>
  </conditionalFormatting>
  <dataValidations>
    <dataValidation type="list" allowBlank="1" showErrorMessage="1" sqref="J4">
      <formula1>BD!$F$6:$F$31</formula1>
    </dataValidation>
    <dataValidation type="list" allowBlank="1" showErrorMessage="1" sqref="E9:E27">
      <formula1>BD!$B$6:$B$16</formula1>
    </dataValidation>
    <dataValidation type="list" allowBlank="1" showErrorMessage="1" sqref="L9:L27">
      <formula1>CRITERIOS!$C$17:$C$36</formula1>
    </dataValidation>
    <dataValidation type="list" allowBlank="1" showErrorMessage="1" sqref="H9:H27">
      <formula1>BD!$D$6:$D$19</formula1>
    </dataValidation>
    <dataValidation type="list" allowBlank="1" showErrorMessage="1" sqref="G31:H1002">
      <formula1>#REF!</formula1>
    </dataValidation>
    <dataValidation type="list" allowBlank="1" showErrorMessage="1" sqref="K9:K27">
      <formula1>CRITERIOS!$A$6:$A$10</formula1>
    </dataValidation>
    <dataValidation type="list" allowBlank="1" showErrorMessage="1" sqref="D4">
      <formula1>BD!$E$6:$E$7</formula1>
    </dataValidation>
    <dataValidation type="list" allowBlank="1" showErrorMessage="1" sqref="D9:D27">
      <formula1>BD!$A$6:$A$7</formula1>
    </dataValidation>
  </dataValidations>
  <printOptions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57"/>
    <col customWidth="1" min="2" max="2" width="15.57"/>
    <col customWidth="1" min="3" max="3" width="22.57"/>
    <col customWidth="1" min="4" max="4" width="24.43"/>
    <col customWidth="1" min="5" max="5" width="15.57"/>
    <col customWidth="1" min="6" max="6" width="16.43"/>
    <col customWidth="1" min="7" max="7" width="18.29"/>
    <col customWidth="1" min="8" max="8" width="33.43"/>
    <col customWidth="1" min="9" max="10" width="10.71"/>
    <col customWidth="1" min="11" max="11" width="17.43"/>
    <col customWidth="1" min="12" max="12" width="35.0"/>
    <col customWidth="1" min="13" max="26" width="10.71"/>
  </cols>
  <sheetData>
    <row r="1" ht="22.5" customHeight="1">
      <c r="A1" s="43" t="s">
        <v>0</v>
      </c>
      <c r="B1" s="2"/>
      <c r="C1" s="44" t="s">
        <v>38</v>
      </c>
      <c r="D1" s="45" t="s">
        <v>39</v>
      </c>
      <c r="E1" s="5"/>
      <c r="F1" s="5"/>
      <c r="G1" s="5"/>
      <c r="H1" s="5"/>
      <c r="I1" s="5"/>
      <c r="J1" s="2"/>
      <c r="K1" s="46" t="s">
        <v>3</v>
      </c>
      <c r="L1" s="8"/>
      <c r="M1" s="40"/>
      <c r="N1" s="40"/>
    </row>
    <row r="2" ht="22.5" customHeight="1">
      <c r="A2" s="10"/>
      <c r="B2" s="11"/>
      <c r="C2" s="12"/>
      <c r="D2" s="10"/>
      <c r="E2" s="13"/>
      <c r="F2" s="13"/>
      <c r="G2" s="13"/>
      <c r="H2" s="13"/>
      <c r="I2" s="13"/>
      <c r="J2" s="11"/>
      <c r="K2" s="46" t="s">
        <v>4</v>
      </c>
      <c r="L2" s="8"/>
      <c r="M2" s="40"/>
      <c r="N2" s="40"/>
    </row>
    <row r="3" ht="22.5" customHeight="1">
      <c r="A3" s="47"/>
      <c r="B3" s="47"/>
      <c r="C3" s="47"/>
      <c r="D3" s="47"/>
      <c r="E3" s="40"/>
      <c r="F3" s="48"/>
      <c r="G3" s="48"/>
      <c r="H3" s="48"/>
      <c r="I3" s="40"/>
      <c r="J3" s="48"/>
      <c r="K3" s="48"/>
      <c r="L3" s="48"/>
      <c r="M3" s="40"/>
      <c r="N3" s="40"/>
    </row>
    <row r="4" ht="22.5" customHeight="1">
      <c r="A4" s="49" t="s">
        <v>40</v>
      </c>
      <c r="B4" s="50"/>
      <c r="C4" s="50"/>
      <c r="D4" s="51"/>
      <c r="E4" s="40"/>
      <c r="F4" s="52" t="s">
        <v>41</v>
      </c>
      <c r="G4" s="50"/>
      <c r="H4" s="51"/>
      <c r="I4" s="40"/>
      <c r="J4" s="53" t="s">
        <v>42</v>
      </c>
      <c r="K4" s="50"/>
      <c r="L4" s="51"/>
      <c r="M4" s="40"/>
      <c r="N4" s="40"/>
    </row>
    <row r="5" ht="39.75" customHeight="1">
      <c r="A5" s="54" t="s">
        <v>43</v>
      </c>
      <c r="B5" s="54" t="s">
        <v>44</v>
      </c>
      <c r="C5" s="54" t="s">
        <v>45</v>
      </c>
      <c r="D5" s="54" t="s">
        <v>46</v>
      </c>
      <c r="E5" s="40"/>
      <c r="F5" s="55" t="s">
        <v>43</v>
      </c>
      <c r="G5" s="55" t="s">
        <v>44</v>
      </c>
      <c r="H5" s="55" t="s">
        <v>47</v>
      </c>
      <c r="I5" s="40"/>
      <c r="J5" s="56" t="s">
        <v>43</v>
      </c>
      <c r="K5" s="56" t="s">
        <v>44</v>
      </c>
      <c r="L5" s="56" t="s">
        <v>47</v>
      </c>
      <c r="M5" s="40"/>
      <c r="N5" s="40"/>
    </row>
    <row r="6" ht="72.0" customHeight="1">
      <c r="A6" s="57">
        <v>2.0</v>
      </c>
      <c r="B6" s="58" t="s">
        <v>48</v>
      </c>
      <c r="C6" s="59" t="s">
        <v>49</v>
      </c>
      <c r="D6" s="59" t="s">
        <v>50</v>
      </c>
      <c r="E6" s="40"/>
      <c r="F6" s="60">
        <v>-2.0</v>
      </c>
      <c r="G6" s="61" t="s">
        <v>51</v>
      </c>
      <c r="H6" s="62" t="s">
        <v>52</v>
      </c>
      <c r="I6" s="40"/>
      <c r="J6" s="63">
        <v>2.0</v>
      </c>
      <c r="K6" s="64" t="s">
        <v>53</v>
      </c>
      <c r="L6" s="65" t="s">
        <v>54</v>
      </c>
      <c r="M6" s="40"/>
      <c r="N6" s="40"/>
    </row>
    <row r="7" ht="69.75" customHeight="1">
      <c r="A7" s="66">
        <v>4.0</v>
      </c>
      <c r="B7" s="67" t="s">
        <v>55</v>
      </c>
      <c r="C7" s="68" t="s">
        <v>56</v>
      </c>
      <c r="D7" s="68" t="s">
        <v>57</v>
      </c>
      <c r="E7" s="40"/>
      <c r="F7" s="69">
        <v>-4.0</v>
      </c>
      <c r="G7" s="70" t="s">
        <v>58</v>
      </c>
      <c r="H7" s="71" t="s">
        <v>59</v>
      </c>
      <c r="I7" s="40"/>
      <c r="J7" s="72">
        <v>4.0</v>
      </c>
      <c r="K7" s="73" t="s">
        <v>60</v>
      </c>
      <c r="L7" s="74" t="s">
        <v>61</v>
      </c>
      <c r="M7" s="40"/>
      <c r="N7" s="40"/>
    </row>
    <row r="8" ht="66.0" customHeight="1">
      <c r="A8" s="66">
        <v>6.0</v>
      </c>
      <c r="B8" s="67" t="s">
        <v>62</v>
      </c>
      <c r="C8" s="68" t="s">
        <v>63</v>
      </c>
      <c r="D8" s="68" t="s">
        <v>64</v>
      </c>
      <c r="E8" s="40"/>
      <c r="F8" s="69">
        <v>-6.0</v>
      </c>
      <c r="G8" s="70" t="s">
        <v>65</v>
      </c>
      <c r="H8" s="71" t="s">
        <v>66</v>
      </c>
      <c r="I8" s="40"/>
      <c r="J8" s="72">
        <v>6.0</v>
      </c>
      <c r="K8" s="73" t="s">
        <v>67</v>
      </c>
      <c r="L8" s="74" t="s">
        <v>68</v>
      </c>
      <c r="M8" s="40"/>
      <c r="N8" s="40"/>
    </row>
    <row r="9" ht="75.0" customHeight="1">
      <c r="A9" s="66">
        <v>8.0</v>
      </c>
      <c r="B9" s="67" t="s">
        <v>69</v>
      </c>
      <c r="C9" s="68" t="s">
        <v>70</v>
      </c>
      <c r="D9" s="68" t="s">
        <v>71</v>
      </c>
      <c r="E9" s="40"/>
      <c r="F9" s="69">
        <v>-8.0</v>
      </c>
      <c r="G9" s="70" t="s">
        <v>72</v>
      </c>
      <c r="H9" s="71" t="s">
        <v>73</v>
      </c>
      <c r="I9" s="40"/>
      <c r="J9" s="72">
        <v>8.0</v>
      </c>
      <c r="K9" s="73" t="s">
        <v>74</v>
      </c>
      <c r="L9" s="74" t="s">
        <v>75</v>
      </c>
      <c r="M9" s="40"/>
      <c r="N9" s="40"/>
    </row>
    <row r="10" ht="63.0" customHeight="1">
      <c r="A10" s="66">
        <v>10.0</v>
      </c>
      <c r="B10" s="67" t="s">
        <v>76</v>
      </c>
      <c r="C10" s="68" t="s">
        <v>77</v>
      </c>
      <c r="D10" s="68" t="s">
        <v>78</v>
      </c>
      <c r="E10" s="40"/>
      <c r="F10" s="69">
        <v>-10.0</v>
      </c>
      <c r="G10" s="70" t="s">
        <v>79</v>
      </c>
      <c r="H10" s="71" t="s">
        <v>80</v>
      </c>
      <c r="I10" s="40"/>
      <c r="J10" s="72">
        <v>10.0</v>
      </c>
      <c r="K10" s="73" t="s">
        <v>81</v>
      </c>
      <c r="L10" s="74" t="s">
        <v>82</v>
      </c>
      <c r="M10" s="40"/>
      <c r="N10" s="40"/>
    </row>
    <row r="11" ht="14.2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</row>
    <row r="12" ht="14.2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</row>
    <row r="13" ht="14.25" customHeight="1">
      <c r="A13" s="40"/>
      <c r="B13" s="40"/>
      <c r="C13" s="40"/>
      <c r="D13" s="75" t="s">
        <v>83</v>
      </c>
      <c r="E13" s="76"/>
      <c r="F13" s="76"/>
      <c r="G13" s="76"/>
      <c r="H13" s="77"/>
      <c r="I13" s="40"/>
      <c r="J13" s="40"/>
      <c r="K13" s="40"/>
      <c r="L13" s="40"/>
      <c r="M13" s="40"/>
      <c r="N13" s="40"/>
    </row>
    <row r="14" ht="18.0" customHeight="1">
      <c r="A14" s="78"/>
      <c r="B14" s="78"/>
      <c r="C14" s="78"/>
      <c r="D14" s="79" t="s">
        <v>32</v>
      </c>
      <c r="E14" s="76"/>
      <c r="F14" s="76"/>
      <c r="G14" s="76"/>
      <c r="H14" s="77"/>
      <c r="I14" s="80"/>
      <c r="J14" s="40"/>
      <c r="K14" s="81" t="s">
        <v>84</v>
      </c>
      <c r="L14" s="82"/>
      <c r="M14" s="40"/>
      <c r="N14" s="40"/>
    </row>
    <row r="15" ht="30.0" customHeight="1">
      <c r="A15" s="78"/>
      <c r="B15" s="78"/>
      <c r="C15" s="78"/>
      <c r="D15" s="83" t="s">
        <v>85</v>
      </c>
      <c r="E15" s="83" t="s">
        <v>86</v>
      </c>
      <c r="F15" s="83" t="s">
        <v>87</v>
      </c>
      <c r="G15" s="83" t="s">
        <v>88</v>
      </c>
      <c r="H15" s="83" t="s">
        <v>89</v>
      </c>
      <c r="I15" s="78"/>
      <c r="J15" s="40"/>
      <c r="K15" s="63" t="s">
        <v>90</v>
      </c>
      <c r="L15" s="63" t="s">
        <v>90</v>
      </c>
      <c r="M15" s="40"/>
      <c r="N15" s="40"/>
    </row>
    <row r="16" ht="14.25" customHeight="1">
      <c r="A16" s="78"/>
      <c r="B16" s="78"/>
      <c r="C16" s="78"/>
      <c r="D16" s="84">
        <v>2.0</v>
      </c>
      <c r="E16" s="84">
        <v>4.0</v>
      </c>
      <c r="F16" s="84">
        <v>6.0</v>
      </c>
      <c r="G16" s="84">
        <v>8.0</v>
      </c>
      <c r="H16" s="84">
        <v>10.0</v>
      </c>
      <c r="I16" s="85"/>
      <c r="J16" s="40"/>
      <c r="K16" s="86" t="s">
        <v>91</v>
      </c>
      <c r="L16" s="86" t="s">
        <v>92</v>
      </c>
      <c r="M16" s="40"/>
      <c r="N16" s="40"/>
    </row>
    <row r="17" ht="14.25" customHeight="1">
      <c r="A17" s="87" t="s">
        <v>33</v>
      </c>
      <c r="B17" s="83" t="s">
        <v>81</v>
      </c>
      <c r="C17" s="88">
        <v>10.0</v>
      </c>
      <c r="D17" s="89" t="s">
        <v>93</v>
      </c>
      <c r="E17" s="90" t="s">
        <v>94</v>
      </c>
      <c r="F17" s="91" t="s">
        <v>95</v>
      </c>
      <c r="G17" s="91" t="s">
        <v>96</v>
      </c>
      <c r="H17" s="91" t="s">
        <v>96</v>
      </c>
      <c r="I17" s="92" t="s">
        <v>97</v>
      </c>
      <c r="J17" s="40"/>
      <c r="K17" s="93" t="s">
        <v>98</v>
      </c>
      <c r="L17" s="93" t="s">
        <v>99</v>
      </c>
      <c r="M17" s="40"/>
      <c r="N17" s="40"/>
    </row>
    <row r="18" ht="14.25" customHeight="1">
      <c r="A18" s="94"/>
      <c r="C18" s="95"/>
      <c r="D18" s="96">
        <v>20.0</v>
      </c>
      <c r="E18" s="97">
        <v>40.0</v>
      </c>
      <c r="F18" s="98">
        <v>60.0</v>
      </c>
      <c r="G18" s="98">
        <v>80.0</v>
      </c>
      <c r="H18" s="98">
        <v>100.0</v>
      </c>
      <c r="I18" s="99"/>
      <c r="J18" s="40"/>
      <c r="K18" s="86" t="s">
        <v>100</v>
      </c>
      <c r="L18" s="86" t="s">
        <v>101</v>
      </c>
      <c r="M18" s="40"/>
      <c r="N18" s="40"/>
    </row>
    <row r="19" ht="19.5" customHeight="1">
      <c r="A19" s="94"/>
      <c r="B19" s="83" t="s">
        <v>74</v>
      </c>
      <c r="C19" s="88">
        <v>8.0</v>
      </c>
      <c r="D19" s="100" t="s">
        <v>102</v>
      </c>
      <c r="E19" s="89" t="s">
        <v>103</v>
      </c>
      <c r="F19" s="90" t="s">
        <v>94</v>
      </c>
      <c r="G19" s="91" t="s">
        <v>96</v>
      </c>
      <c r="H19" s="91" t="s">
        <v>95</v>
      </c>
      <c r="I19" s="99"/>
      <c r="J19" s="40"/>
      <c r="K19" s="93" t="s">
        <v>104</v>
      </c>
      <c r="L19" s="93" t="s">
        <v>105</v>
      </c>
      <c r="M19" s="40"/>
      <c r="N19" s="40"/>
    </row>
    <row r="20" ht="14.25" customHeight="1">
      <c r="A20" s="94"/>
      <c r="C20" s="95"/>
      <c r="D20" s="101">
        <v>16.0</v>
      </c>
      <c r="E20" s="96">
        <v>32.0</v>
      </c>
      <c r="F20" s="97">
        <v>48.0</v>
      </c>
      <c r="G20" s="98">
        <v>64.0</v>
      </c>
      <c r="H20" s="98">
        <v>80.0</v>
      </c>
      <c r="I20" s="99"/>
      <c r="J20" s="40"/>
      <c r="K20" s="40"/>
      <c r="L20" s="40"/>
      <c r="M20" s="40"/>
      <c r="N20" s="40"/>
    </row>
    <row r="21" ht="14.25" customHeight="1">
      <c r="A21" s="94"/>
      <c r="B21" s="83" t="s">
        <v>67</v>
      </c>
      <c r="C21" s="88">
        <v>6.0</v>
      </c>
      <c r="D21" s="100" t="s">
        <v>102</v>
      </c>
      <c r="E21" s="89" t="s">
        <v>93</v>
      </c>
      <c r="F21" s="89" t="s">
        <v>103</v>
      </c>
      <c r="G21" s="90" t="s">
        <v>94</v>
      </c>
      <c r="H21" s="91" t="s">
        <v>96</v>
      </c>
      <c r="I21" s="99"/>
      <c r="J21" s="40"/>
      <c r="K21" s="102" t="s">
        <v>106</v>
      </c>
      <c r="L21" s="82"/>
      <c r="M21" s="40"/>
      <c r="N21" s="40"/>
    </row>
    <row r="22" ht="14.25" customHeight="1">
      <c r="A22" s="94"/>
      <c r="C22" s="95"/>
      <c r="D22" s="101">
        <v>12.0</v>
      </c>
      <c r="E22" s="96">
        <v>24.0</v>
      </c>
      <c r="F22" s="96">
        <v>36.0</v>
      </c>
      <c r="G22" s="97">
        <v>48.0</v>
      </c>
      <c r="H22" s="98">
        <v>60.0</v>
      </c>
      <c r="I22" s="99"/>
      <c r="J22" s="40"/>
      <c r="K22" s="103" t="s">
        <v>90</v>
      </c>
      <c r="L22" s="103" t="s">
        <v>90</v>
      </c>
      <c r="M22" s="40"/>
      <c r="N22" s="40"/>
    </row>
    <row r="23" ht="14.25" customHeight="1">
      <c r="A23" s="94"/>
      <c r="B23" s="83" t="s">
        <v>60</v>
      </c>
      <c r="C23" s="88">
        <v>4.0</v>
      </c>
      <c r="D23" s="100" t="s">
        <v>102</v>
      </c>
      <c r="E23" s="100" t="s">
        <v>102</v>
      </c>
      <c r="F23" s="89" t="s">
        <v>93</v>
      </c>
      <c r="G23" s="89" t="s">
        <v>93</v>
      </c>
      <c r="H23" s="90" t="s">
        <v>94</v>
      </c>
      <c r="I23" s="99"/>
      <c r="J23" s="40"/>
      <c r="K23" s="104" t="s">
        <v>107</v>
      </c>
      <c r="L23" s="104" t="s">
        <v>108</v>
      </c>
      <c r="M23" s="40"/>
      <c r="N23" s="40"/>
    </row>
    <row r="24" ht="14.25" customHeight="1">
      <c r="A24" s="94"/>
      <c r="C24" s="95"/>
      <c r="D24" s="101">
        <v>8.0</v>
      </c>
      <c r="E24" s="101">
        <v>16.0</v>
      </c>
      <c r="F24" s="96">
        <v>24.0</v>
      </c>
      <c r="G24" s="96">
        <v>32.0</v>
      </c>
      <c r="H24" s="97">
        <v>40.0</v>
      </c>
      <c r="I24" s="99"/>
      <c r="J24" s="40"/>
      <c r="K24" s="105" t="s">
        <v>109</v>
      </c>
      <c r="L24" s="105" t="s">
        <v>110</v>
      </c>
      <c r="M24" s="40"/>
      <c r="N24" s="40"/>
    </row>
    <row r="25" ht="14.25" customHeight="1">
      <c r="A25" s="94"/>
      <c r="B25" s="83" t="s">
        <v>53</v>
      </c>
      <c r="C25" s="88">
        <v>2.0</v>
      </c>
      <c r="D25" s="100" t="s">
        <v>102</v>
      </c>
      <c r="E25" s="100" t="s">
        <v>102</v>
      </c>
      <c r="F25" s="100" t="s">
        <v>102</v>
      </c>
      <c r="G25" s="100" t="s">
        <v>102</v>
      </c>
      <c r="H25" s="89" t="s">
        <v>93</v>
      </c>
      <c r="I25" s="99"/>
      <c r="J25" s="40"/>
      <c r="K25" s="104" t="s">
        <v>111</v>
      </c>
      <c r="L25" s="104" t="s">
        <v>112</v>
      </c>
      <c r="M25" s="40"/>
      <c r="N25" s="40"/>
    </row>
    <row r="26" ht="14.25" customHeight="1">
      <c r="A26" s="94"/>
      <c r="C26" s="95"/>
      <c r="D26" s="101">
        <v>4.0</v>
      </c>
      <c r="E26" s="101">
        <v>8.0</v>
      </c>
      <c r="F26" s="101">
        <v>12.0</v>
      </c>
      <c r="G26" s="101">
        <v>16.0</v>
      </c>
      <c r="H26" s="96">
        <v>20.0</v>
      </c>
      <c r="I26" s="106"/>
      <c r="J26" s="40"/>
      <c r="K26" s="105" t="s">
        <v>113</v>
      </c>
      <c r="L26" s="105" t="s">
        <v>114</v>
      </c>
      <c r="M26" s="40"/>
      <c r="N26" s="40"/>
    </row>
    <row r="27" ht="19.5" customHeight="1">
      <c r="A27" s="94"/>
      <c r="B27" s="83" t="s">
        <v>115</v>
      </c>
      <c r="C27" s="88">
        <v>-2.0</v>
      </c>
      <c r="D27" s="107" t="s">
        <v>116</v>
      </c>
      <c r="E27" s="107" t="s">
        <v>116</v>
      </c>
      <c r="F27" s="107" t="s">
        <v>116</v>
      </c>
      <c r="G27" s="107" t="s">
        <v>116</v>
      </c>
      <c r="H27" s="108" t="s">
        <v>117</v>
      </c>
      <c r="I27" s="109" t="s">
        <v>118</v>
      </c>
      <c r="J27" s="40"/>
      <c r="K27" s="40"/>
      <c r="L27" s="40"/>
      <c r="M27" s="40"/>
      <c r="N27" s="40"/>
    </row>
    <row r="28" ht="14.25" customHeight="1">
      <c r="A28" s="94"/>
      <c r="C28" s="95"/>
      <c r="D28" s="110">
        <v>-4.0</v>
      </c>
      <c r="E28" s="110">
        <v>-8.0</v>
      </c>
      <c r="F28" s="110">
        <v>-12.0</v>
      </c>
      <c r="G28" s="110">
        <v>-16.0</v>
      </c>
      <c r="H28" s="111">
        <v>-20.0</v>
      </c>
      <c r="I28" s="99"/>
      <c r="J28" s="40"/>
      <c r="K28" s="40"/>
      <c r="L28" s="40"/>
      <c r="M28" s="40"/>
      <c r="N28" s="40"/>
    </row>
    <row r="29" ht="14.25" customHeight="1">
      <c r="A29" s="94"/>
      <c r="B29" s="83" t="s">
        <v>119</v>
      </c>
      <c r="C29" s="88">
        <v>-4.0</v>
      </c>
      <c r="D29" s="107" t="s">
        <v>116</v>
      </c>
      <c r="E29" s="107" t="s">
        <v>116</v>
      </c>
      <c r="F29" s="108" t="s">
        <v>117</v>
      </c>
      <c r="G29" s="108" t="s">
        <v>117</v>
      </c>
      <c r="H29" s="112" t="s">
        <v>120</v>
      </c>
      <c r="I29" s="99"/>
      <c r="J29" s="40"/>
      <c r="K29" s="40"/>
      <c r="L29" s="40"/>
      <c r="M29" s="40"/>
      <c r="N29" s="40"/>
    </row>
    <row r="30" ht="14.25" customHeight="1">
      <c r="A30" s="94"/>
      <c r="C30" s="95"/>
      <c r="D30" s="110">
        <v>-8.0</v>
      </c>
      <c r="E30" s="110">
        <v>-16.0</v>
      </c>
      <c r="F30" s="111">
        <v>-24.0</v>
      </c>
      <c r="G30" s="111">
        <v>-32.0</v>
      </c>
      <c r="H30" s="113">
        <v>-40.0</v>
      </c>
      <c r="I30" s="99"/>
      <c r="J30" s="40"/>
      <c r="K30" s="40"/>
      <c r="L30" s="40"/>
      <c r="M30" s="40"/>
      <c r="N30" s="40"/>
    </row>
    <row r="31" ht="14.25" customHeight="1">
      <c r="A31" s="94"/>
      <c r="B31" s="83" t="s">
        <v>117</v>
      </c>
      <c r="C31" s="88">
        <v>-6.0</v>
      </c>
      <c r="D31" s="107" t="s">
        <v>116</v>
      </c>
      <c r="E31" s="108" t="s">
        <v>117</v>
      </c>
      <c r="F31" s="108" t="s">
        <v>117</v>
      </c>
      <c r="G31" s="112" t="s">
        <v>120</v>
      </c>
      <c r="H31" s="114" t="s">
        <v>121</v>
      </c>
      <c r="I31" s="99"/>
      <c r="J31" s="40"/>
      <c r="K31" s="40"/>
      <c r="L31" s="40"/>
      <c r="M31" s="40"/>
      <c r="N31" s="40"/>
    </row>
    <row r="32" ht="14.25" customHeight="1">
      <c r="A32" s="94"/>
      <c r="C32" s="95"/>
      <c r="D32" s="110">
        <v>-12.0</v>
      </c>
      <c r="E32" s="111">
        <v>-24.0</v>
      </c>
      <c r="F32" s="111">
        <v>-36.0</v>
      </c>
      <c r="G32" s="113">
        <v>-48.0</v>
      </c>
      <c r="H32" s="115">
        <v>-60.0</v>
      </c>
      <c r="I32" s="99"/>
      <c r="J32" s="40"/>
      <c r="K32" s="40"/>
      <c r="L32" s="40"/>
      <c r="M32" s="40"/>
      <c r="N32" s="40"/>
    </row>
    <row r="33" ht="14.25" customHeight="1">
      <c r="A33" s="94"/>
      <c r="B33" s="83" t="s">
        <v>122</v>
      </c>
      <c r="C33" s="88">
        <v>-8.0</v>
      </c>
      <c r="D33" s="107" t="s">
        <v>116</v>
      </c>
      <c r="E33" s="108" t="s">
        <v>117</v>
      </c>
      <c r="F33" s="112" t="s">
        <v>120</v>
      </c>
      <c r="G33" s="114" t="s">
        <v>121</v>
      </c>
      <c r="H33" s="114" t="s">
        <v>121</v>
      </c>
      <c r="I33" s="99"/>
      <c r="J33" s="40"/>
      <c r="K33" s="40"/>
      <c r="L33" s="40"/>
      <c r="M33" s="40"/>
      <c r="N33" s="40"/>
    </row>
    <row r="34" ht="14.25" customHeight="1">
      <c r="A34" s="94"/>
      <c r="C34" s="95"/>
      <c r="D34" s="110">
        <v>-16.0</v>
      </c>
      <c r="E34" s="111">
        <v>-32.0</v>
      </c>
      <c r="F34" s="113">
        <v>-48.0</v>
      </c>
      <c r="G34" s="115">
        <v>-64.0</v>
      </c>
      <c r="H34" s="115">
        <v>-80.0</v>
      </c>
      <c r="I34" s="99"/>
      <c r="J34" s="40"/>
      <c r="K34" s="40"/>
      <c r="L34" s="40"/>
      <c r="M34" s="40"/>
      <c r="N34" s="40"/>
    </row>
    <row r="35" ht="14.25" customHeight="1">
      <c r="A35" s="94"/>
      <c r="B35" s="83" t="s">
        <v>123</v>
      </c>
      <c r="C35" s="88">
        <v>-10.0</v>
      </c>
      <c r="D35" s="108" t="s">
        <v>117</v>
      </c>
      <c r="E35" s="112" t="s">
        <v>120</v>
      </c>
      <c r="F35" s="114" t="s">
        <v>121</v>
      </c>
      <c r="G35" s="114" t="s">
        <v>121</v>
      </c>
      <c r="H35" s="114" t="s">
        <v>121</v>
      </c>
      <c r="I35" s="99"/>
      <c r="J35" s="40"/>
      <c r="K35" s="40"/>
      <c r="L35" s="40"/>
      <c r="M35" s="40"/>
      <c r="N35" s="40"/>
    </row>
    <row r="36" ht="14.25" customHeight="1">
      <c r="A36" s="116"/>
      <c r="C36" s="95"/>
      <c r="D36" s="111">
        <v>-20.0</v>
      </c>
      <c r="E36" s="113">
        <v>-40.0</v>
      </c>
      <c r="F36" s="115">
        <v>-60.0</v>
      </c>
      <c r="G36" s="115">
        <v>-80.0</v>
      </c>
      <c r="H36" s="115">
        <v>-100.0</v>
      </c>
      <c r="I36" s="106"/>
      <c r="J36" s="40"/>
      <c r="K36" s="40"/>
      <c r="L36" s="40"/>
      <c r="M36" s="40"/>
      <c r="N36" s="40"/>
    </row>
    <row r="37" ht="14.2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</row>
    <row r="38" ht="14.2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</row>
    <row r="39" ht="14.2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ht="14.2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</row>
    <row r="41" ht="14.2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</row>
    <row r="42" ht="14.2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</row>
    <row r="43" ht="14.2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</row>
    <row r="44" ht="14.2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</row>
    <row r="45" ht="14.25" customHeight="1">
      <c r="A45" s="117">
        <v>-100.0</v>
      </c>
      <c r="B45" s="118" t="s">
        <v>124</v>
      </c>
      <c r="C45" s="119" t="s">
        <v>125</v>
      </c>
      <c r="D45" s="40"/>
      <c r="E45" s="120" t="s">
        <v>126</v>
      </c>
      <c r="F45" s="121" t="s">
        <v>127</v>
      </c>
      <c r="G45" s="40"/>
      <c r="H45" s="122" t="s">
        <v>128</v>
      </c>
      <c r="I45" s="123" t="s">
        <v>129</v>
      </c>
      <c r="J45" s="40"/>
      <c r="K45" s="40"/>
      <c r="L45" s="40"/>
      <c r="M45" s="40"/>
      <c r="N45" s="40"/>
    </row>
    <row r="46" ht="14.25" customHeight="1">
      <c r="A46" s="124">
        <v>-80.0</v>
      </c>
      <c r="B46" s="114" t="s">
        <v>124</v>
      </c>
      <c r="C46" s="125" t="s">
        <v>125</v>
      </c>
      <c r="D46" s="40"/>
      <c r="E46" s="126">
        <v>-2.0</v>
      </c>
      <c r="F46" s="127">
        <v>2.0</v>
      </c>
      <c r="G46" s="40"/>
      <c r="H46" s="128" t="s">
        <v>124</v>
      </c>
      <c r="I46" s="129" t="s">
        <v>130</v>
      </c>
      <c r="J46" s="40"/>
      <c r="K46" s="40"/>
      <c r="L46" s="40"/>
      <c r="M46" s="40"/>
      <c r="N46" s="40"/>
    </row>
    <row r="47" ht="14.25" customHeight="1">
      <c r="A47" s="124">
        <v>-64.0</v>
      </c>
      <c r="B47" s="114" t="s">
        <v>124</v>
      </c>
      <c r="C47" s="125" t="s">
        <v>125</v>
      </c>
      <c r="D47" s="40"/>
      <c r="E47" s="130">
        <v>-4.0</v>
      </c>
      <c r="F47" s="131">
        <v>4.0</v>
      </c>
      <c r="G47" s="40"/>
      <c r="H47" s="132" t="s">
        <v>124</v>
      </c>
      <c r="I47" s="129" t="s">
        <v>130</v>
      </c>
      <c r="J47" s="40"/>
      <c r="K47" s="40"/>
      <c r="L47" s="40"/>
      <c r="M47" s="40"/>
      <c r="N47" s="40"/>
    </row>
    <row r="48" ht="14.25" customHeight="1">
      <c r="A48" s="124">
        <v>-60.0</v>
      </c>
      <c r="B48" s="114" t="s">
        <v>124</v>
      </c>
      <c r="C48" s="125" t="s">
        <v>125</v>
      </c>
      <c r="D48" s="40"/>
      <c r="E48" s="133">
        <v>-6.0</v>
      </c>
      <c r="F48" s="134">
        <v>6.0</v>
      </c>
      <c r="G48" s="40"/>
      <c r="H48" s="132" t="s">
        <v>124</v>
      </c>
      <c r="I48" s="129" t="s">
        <v>130</v>
      </c>
      <c r="J48" s="40"/>
      <c r="K48" s="40"/>
      <c r="L48" s="40"/>
      <c r="M48" s="40"/>
      <c r="N48" s="40"/>
    </row>
    <row r="49" ht="14.25" customHeight="1">
      <c r="A49" s="124">
        <v>-48.0</v>
      </c>
      <c r="B49" s="112" t="s">
        <v>111</v>
      </c>
      <c r="C49" s="125" t="s">
        <v>131</v>
      </c>
      <c r="D49" s="40"/>
      <c r="E49" s="130">
        <v>-8.0</v>
      </c>
      <c r="F49" s="131">
        <v>8.0</v>
      </c>
      <c r="G49" s="40"/>
      <c r="H49" s="132" t="s">
        <v>124</v>
      </c>
      <c r="I49" s="129" t="s">
        <v>130</v>
      </c>
      <c r="J49" s="40"/>
      <c r="K49" s="40"/>
      <c r="L49" s="40"/>
      <c r="M49" s="40"/>
      <c r="N49" s="40"/>
    </row>
    <row r="50" ht="14.25" customHeight="1">
      <c r="A50" s="124">
        <v>-40.0</v>
      </c>
      <c r="B50" s="112" t="s">
        <v>111</v>
      </c>
      <c r="C50" s="125" t="s">
        <v>131</v>
      </c>
      <c r="D50" s="40"/>
      <c r="E50" s="135">
        <v>-10.0</v>
      </c>
      <c r="F50" s="136">
        <v>10.0</v>
      </c>
      <c r="G50" s="40"/>
      <c r="H50" s="137" t="s">
        <v>111</v>
      </c>
      <c r="I50" s="129" t="s">
        <v>132</v>
      </c>
      <c r="J50" s="40"/>
      <c r="K50" s="40"/>
      <c r="L50" s="40"/>
      <c r="M50" s="40"/>
      <c r="N50" s="40"/>
    </row>
    <row r="51" ht="14.25" customHeight="1">
      <c r="A51" s="124">
        <v>-36.0</v>
      </c>
      <c r="B51" s="108" t="s">
        <v>133</v>
      </c>
      <c r="C51" s="125" t="s">
        <v>134</v>
      </c>
      <c r="D51" s="40"/>
      <c r="E51" s="40"/>
      <c r="F51" s="40"/>
      <c r="G51" s="40"/>
      <c r="H51" s="137" t="s">
        <v>111</v>
      </c>
      <c r="I51" s="129" t="s">
        <v>132</v>
      </c>
      <c r="J51" s="40"/>
      <c r="K51" s="40"/>
      <c r="L51" s="40"/>
      <c r="M51" s="40"/>
      <c r="N51" s="40"/>
    </row>
    <row r="52" ht="14.25" customHeight="1">
      <c r="A52" s="124">
        <v>-32.0</v>
      </c>
      <c r="B52" s="108" t="s">
        <v>133</v>
      </c>
      <c r="C52" s="125" t="s">
        <v>134</v>
      </c>
      <c r="D52" s="40"/>
      <c r="E52" s="40"/>
      <c r="F52" s="40"/>
      <c r="G52" s="40"/>
      <c r="H52" s="138" t="s">
        <v>133</v>
      </c>
      <c r="I52" s="129" t="s">
        <v>135</v>
      </c>
      <c r="J52" s="40"/>
      <c r="K52" s="40"/>
      <c r="L52" s="40"/>
      <c r="M52" s="40"/>
      <c r="N52" s="40"/>
    </row>
    <row r="53" ht="14.25" customHeight="1">
      <c r="A53" s="124">
        <v>-24.0</v>
      </c>
      <c r="B53" s="108" t="s">
        <v>133</v>
      </c>
      <c r="C53" s="125" t="s">
        <v>134</v>
      </c>
      <c r="D53" s="40"/>
      <c r="E53" s="40"/>
      <c r="F53" s="40"/>
      <c r="G53" s="40"/>
      <c r="H53" s="138" t="s">
        <v>133</v>
      </c>
      <c r="I53" s="129" t="s">
        <v>135</v>
      </c>
      <c r="J53" s="40"/>
      <c r="K53" s="40"/>
      <c r="L53" s="40"/>
      <c r="M53" s="40"/>
      <c r="N53" s="40"/>
    </row>
    <row r="54" ht="14.25" customHeight="1">
      <c r="A54" s="124">
        <v>-20.0</v>
      </c>
      <c r="B54" s="108" t="s">
        <v>133</v>
      </c>
      <c r="C54" s="125" t="s">
        <v>134</v>
      </c>
      <c r="D54" s="40"/>
      <c r="E54" s="40"/>
      <c r="F54" s="40"/>
      <c r="G54" s="40"/>
      <c r="H54" s="138" t="s">
        <v>133</v>
      </c>
      <c r="I54" s="129" t="s">
        <v>135</v>
      </c>
      <c r="J54" s="40"/>
      <c r="K54" s="40"/>
      <c r="L54" s="40"/>
      <c r="M54" s="40"/>
      <c r="N54" s="40"/>
    </row>
    <row r="55" ht="14.25" customHeight="1">
      <c r="A55" s="124">
        <v>-16.0</v>
      </c>
      <c r="B55" s="107" t="s">
        <v>136</v>
      </c>
      <c r="C55" s="125" t="s">
        <v>137</v>
      </c>
      <c r="D55" s="40"/>
      <c r="E55" s="40"/>
      <c r="F55" s="40"/>
      <c r="G55" s="40"/>
      <c r="H55" s="138" t="s">
        <v>133</v>
      </c>
      <c r="I55" s="129" t="s">
        <v>135</v>
      </c>
      <c r="J55" s="40"/>
      <c r="K55" s="40"/>
      <c r="L55" s="40"/>
      <c r="M55" s="40"/>
      <c r="N55" s="40"/>
    </row>
    <row r="56" ht="14.25" customHeight="1">
      <c r="A56" s="124">
        <v>-12.0</v>
      </c>
      <c r="B56" s="107" t="s">
        <v>136</v>
      </c>
      <c r="C56" s="125" t="s">
        <v>137</v>
      </c>
      <c r="D56" s="40"/>
      <c r="E56" s="40"/>
      <c r="F56" s="40"/>
      <c r="G56" s="40"/>
      <c r="H56" s="139" t="s">
        <v>136</v>
      </c>
      <c r="I56" s="129" t="s">
        <v>138</v>
      </c>
      <c r="J56" s="40"/>
      <c r="K56" s="40"/>
      <c r="L56" s="40"/>
      <c r="M56" s="40"/>
      <c r="N56" s="40"/>
    </row>
    <row r="57" ht="14.25" customHeight="1">
      <c r="A57" s="124">
        <v>-8.0</v>
      </c>
      <c r="B57" s="107" t="s">
        <v>136</v>
      </c>
      <c r="C57" s="125" t="s">
        <v>137</v>
      </c>
      <c r="D57" s="40"/>
      <c r="E57" s="40"/>
      <c r="F57" s="40"/>
      <c r="G57" s="40"/>
      <c r="H57" s="139" t="s">
        <v>136</v>
      </c>
      <c r="I57" s="129" t="s">
        <v>138</v>
      </c>
      <c r="J57" s="40"/>
      <c r="K57" s="40"/>
      <c r="L57" s="40"/>
      <c r="M57" s="40"/>
      <c r="N57" s="40"/>
    </row>
    <row r="58" ht="14.25" customHeight="1">
      <c r="A58" s="140">
        <v>-4.0</v>
      </c>
      <c r="B58" s="141" t="s">
        <v>136</v>
      </c>
      <c r="C58" s="142" t="s">
        <v>137</v>
      </c>
      <c r="D58" s="40"/>
      <c r="E58" s="40"/>
      <c r="F58" s="40"/>
      <c r="G58" s="40"/>
      <c r="H58" s="139" t="s">
        <v>136</v>
      </c>
      <c r="I58" s="129" t="s">
        <v>138</v>
      </c>
      <c r="J58" s="40"/>
      <c r="K58" s="40"/>
      <c r="L58" s="40"/>
      <c r="M58" s="40"/>
      <c r="N58" s="40"/>
    </row>
    <row r="59" ht="14.25" customHeight="1">
      <c r="A59" s="117">
        <v>4.0</v>
      </c>
      <c r="B59" s="143" t="s">
        <v>139</v>
      </c>
      <c r="C59" s="119" t="s">
        <v>105</v>
      </c>
      <c r="D59" s="40"/>
      <c r="E59" s="40"/>
      <c r="F59" s="40"/>
      <c r="G59" s="40"/>
      <c r="H59" s="144" t="s">
        <v>136</v>
      </c>
      <c r="I59" s="145" t="s">
        <v>138</v>
      </c>
      <c r="J59" s="40"/>
      <c r="K59" s="40"/>
      <c r="L59" s="40"/>
      <c r="M59" s="40"/>
      <c r="N59" s="40"/>
    </row>
    <row r="60" ht="14.25" customHeight="1">
      <c r="A60" s="124">
        <v>8.0</v>
      </c>
      <c r="B60" s="100" t="s">
        <v>139</v>
      </c>
      <c r="C60" s="125" t="s">
        <v>105</v>
      </c>
      <c r="D60" s="40"/>
      <c r="E60" s="40"/>
      <c r="F60" s="40"/>
      <c r="G60" s="40"/>
      <c r="H60" s="146" t="s">
        <v>139</v>
      </c>
      <c r="I60" s="147" t="s">
        <v>140</v>
      </c>
      <c r="J60" s="40"/>
      <c r="K60" s="40"/>
      <c r="L60" s="40"/>
      <c r="M60" s="40"/>
      <c r="N60" s="40"/>
    </row>
    <row r="61" ht="14.25" customHeight="1">
      <c r="A61" s="124">
        <v>12.0</v>
      </c>
      <c r="B61" s="100" t="s">
        <v>139</v>
      </c>
      <c r="C61" s="125" t="s">
        <v>105</v>
      </c>
      <c r="D61" s="40"/>
      <c r="E61" s="40"/>
      <c r="F61" s="40"/>
      <c r="G61" s="40"/>
      <c r="H61" s="148" t="s">
        <v>139</v>
      </c>
      <c r="I61" s="149" t="s">
        <v>140</v>
      </c>
      <c r="J61" s="40"/>
      <c r="K61" s="40"/>
      <c r="L61" s="40"/>
      <c r="M61" s="40"/>
      <c r="N61" s="40"/>
    </row>
    <row r="62" ht="14.25" customHeight="1">
      <c r="A62" s="124">
        <v>16.0</v>
      </c>
      <c r="B62" s="100" t="s">
        <v>139</v>
      </c>
      <c r="C62" s="125" t="s">
        <v>105</v>
      </c>
      <c r="D62" s="40"/>
      <c r="E62" s="40"/>
      <c r="F62" s="40"/>
      <c r="G62" s="40"/>
      <c r="H62" s="148" t="s">
        <v>139</v>
      </c>
      <c r="I62" s="149" t="s">
        <v>140</v>
      </c>
      <c r="J62" s="40"/>
      <c r="K62" s="40"/>
      <c r="L62" s="40"/>
      <c r="M62" s="40"/>
      <c r="N62" s="40"/>
    </row>
    <row r="63" ht="14.25" customHeight="1">
      <c r="A63" s="124">
        <v>20.0</v>
      </c>
      <c r="B63" s="89" t="s">
        <v>141</v>
      </c>
      <c r="C63" s="125" t="s">
        <v>101</v>
      </c>
      <c r="D63" s="40"/>
      <c r="E63" s="40"/>
      <c r="F63" s="40"/>
      <c r="G63" s="40"/>
      <c r="H63" s="148" t="s">
        <v>139</v>
      </c>
      <c r="I63" s="149" t="s">
        <v>140</v>
      </c>
      <c r="J63" s="40"/>
      <c r="K63" s="40"/>
      <c r="L63" s="40"/>
      <c r="M63" s="40"/>
      <c r="N63" s="40"/>
    </row>
    <row r="64" ht="14.25" customHeight="1">
      <c r="A64" s="124">
        <v>24.0</v>
      </c>
      <c r="B64" s="89" t="s">
        <v>141</v>
      </c>
      <c r="C64" s="125" t="s">
        <v>101</v>
      </c>
      <c r="D64" s="40"/>
      <c r="E64" s="40"/>
      <c r="F64" s="40"/>
      <c r="G64" s="40"/>
      <c r="H64" s="150" t="s">
        <v>141</v>
      </c>
      <c r="I64" s="149" t="s">
        <v>142</v>
      </c>
      <c r="J64" s="40"/>
      <c r="K64" s="40"/>
      <c r="L64" s="40"/>
      <c r="M64" s="40"/>
      <c r="N64" s="40"/>
    </row>
    <row r="65" ht="14.25" customHeight="1">
      <c r="A65" s="124">
        <v>32.0</v>
      </c>
      <c r="B65" s="89" t="s">
        <v>141</v>
      </c>
      <c r="C65" s="125" t="s">
        <v>101</v>
      </c>
      <c r="D65" s="40"/>
      <c r="E65" s="40"/>
      <c r="F65" s="40"/>
      <c r="G65" s="40"/>
      <c r="H65" s="150" t="s">
        <v>141</v>
      </c>
      <c r="I65" s="149" t="s">
        <v>142</v>
      </c>
      <c r="J65" s="40"/>
      <c r="K65" s="40"/>
      <c r="L65" s="40"/>
      <c r="M65" s="40"/>
      <c r="N65" s="40"/>
    </row>
    <row r="66" ht="14.25" customHeight="1">
      <c r="A66" s="124">
        <v>36.0</v>
      </c>
      <c r="B66" s="89" t="s">
        <v>141</v>
      </c>
      <c r="C66" s="125" t="s">
        <v>101</v>
      </c>
      <c r="D66" s="40"/>
      <c r="E66" s="40"/>
      <c r="F66" s="40"/>
      <c r="G66" s="40"/>
      <c r="H66" s="150" t="s">
        <v>141</v>
      </c>
      <c r="I66" s="149" t="s">
        <v>142</v>
      </c>
      <c r="J66" s="40"/>
      <c r="K66" s="40"/>
      <c r="L66" s="40"/>
      <c r="M66" s="40"/>
      <c r="N66" s="40"/>
    </row>
    <row r="67" ht="14.25" customHeight="1">
      <c r="A67" s="124">
        <v>40.0</v>
      </c>
      <c r="B67" s="90" t="s">
        <v>98</v>
      </c>
      <c r="C67" s="125" t="s">
        <v>99</v>
      </c>
      <c r="D67" s="40"/>
      <c r="E67" s="40"/>
      <c r="F67" s="40"/>
      <c r="G67" s="40"/>
      <c r="H67" s="150" t="s">
        <v>141</v>
      </c>
      <c r="I67" s="149" t="s">
        <v>142</v>
      </c>
      <c r="J67" s="40"/>
      <c r="K67" s="40"/>
      <c r="L67" s="40"/>
      <c r="M67" s="40"/>
      <c r="N67" s="40"/>
    </row>
    <row r="68" ht="14.25" customHeight="1">
      <c r="A68" s="124">
        <v>48.0</v>
      </c>
      <c r="B68" s="90" t="s">
        <v>98</v>
      </c>
      <c r="C68" s="125" t="s">
        <v>99</v>
      </c>
      <c r="D68" s="40"/>
      <c r="E68" s="40"/>
      <c r="F68" s="40"/>
      <c r="G68" s="40"/>
      <c r="H68" s="151" t="s">
        <v>98</v>
      </c>
      <c r="I68" s="149" t="s">
        <v>143</v>
      </c>
      <c r="J68" s="40"/>
      <c r="K68" s="40"/>
      <c r="L68" s="40"/>
      <c r="M68" s="40"/>
      <c r="N68" s="40"/>
    </row>
    <row r="69" ht="14.25" customHeight="1">
      <c r="A69" s="124">
        <v>60.0</v>
      </c>
      <c r="B69" s="91" t="s">
        <v>91</v>
      </c>
      <c r="C69" s="125" t="s">
        <v>144</v>
      </c>
      <c r="D69" s="40"/>
      <c r="E69" s="40"/>
      <c r="F69" s="40"/>
      <c r="G69" s="40"/>
      <c r="H69" s="151" t="s">
        <v>98</v>
      </c>
      <c r="I69" s="149" t="s">
        <v>143</v>
      </c>
      <c r="J69" s="40"/>
      <c r="K69" s="40"/>
      <c r="L69" s="40"/>
      <c r="M69" s="40"/>
      <c r="N69" s="40"/>
    </row>
    <row r="70" ht="14.25" customHeight="1">
      <c r="A70" s="124">
        <v>64.0</v>
      </c>
      <c r="B70" s="91" t="s">
        <v>91</v>
      </c>
      <c r="C70" s="125" t="s">
        <v>144</v>
      </c>
      <c r="D70" s="40"/>
      <c r="E70" s="40"/>
      <c r="F70" s="40"/>
      <c r="G70" s="40"/>
      <c r="H70" s="152" t="s">
        <v>91</v>
      </c>
      <c r="I70" s="149" t="s">
        <v>145</v>
      </c>
      <c r="J70" s="40"/>
      <c r="K70" s="40"/>
      <c r="L70" s="40"/>
      <c r="M70" s="40"/>
      <c r="N70" s="40"/>
    </row>
    <row r="71" ht="14.25" customHeight="1">
      <c r="A71" s="124">
        <v>80.0</v>
      </c>
      <c r="B71" s="91" t="s">
        <v>91</v>
      </c>
      <c r="C71" s="125" t="s">
        <v>144</v>
      </c>
      <c r="D71" s="40"/>
      <c r="E71" s="40"/>
      <c r="F71" s="40"/>
      <c r="G71" s="40"/>
      <c r="H71" s="152" t="s">
        <v>91</v>
      </c>
      <c r="I71" s="149" t="s">
        <v>145</v>
      </c>
      <c r="J71" s="40"/>
      <c r="K71" s="40"/>
      <c r="L71" s="40"/>
      <c r="M71" s="40"/>
      <c r="N71" s="40"/>
    </row>
    <row r="72" ht="14.25" customHeight="1">
      <c r="A72" s="140">
        <v>100.0</v>
      </c>
      <c r="B72" s="153" t="s">
        <v>91</v>
      </c>
      <c r="C72" s="142" t="s">
        <v>144</v>
      </c>
      <c r="D72" s="40"/>
      <c r="E72" s="40"/>
      <c r="F72" s="40"/>
      <c r="G72" s="40"/>
      <c r="H72" s="152" t="s">
        <v>91</v>
      </c>
      <c r="I72" s="149" t="s">
        <v>145</v>
      </c>
      <c r="J72" s="40"/>
      <c r="K72" s="40"/>
      <c r="L72" s="40"/>
      <c r="M72" s="40"/>
      <c r="N72" s="40"/>
    </row>
    <row r="73" ht="14.25" customHeight="1">
      <c r="A73" s="40"/>
      <c r="B73" s="40"/>
      <c r="C73" s="40"/>
      <c r="D73" s="40"/>
      <c r="E73" s="40"/>
      <c r="F73" s="40"/>
      <c r="G73" s="40"/>
      <c r="H73" s="154" t="s">
        <v>91</v>
      </c>
      <c r="I73" s="155" t="s">
        <v>145</v>
      </c>
      <c r="J73" s="40"/>
      <c r="K73" s="40"/>
      <c r="L73" s="40"/>
      <c r="M73" s="40"/>
      <c r="N73" s="40"/>
    </row>
    <row r="74" ht="14.2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</row>
    <row r="75" ht="14.2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</row>
    <row r="76" ht="14.2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</row>
    <row r="77" ht="14.2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</row>
    <row r="78" ht="14.2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</row>
    <row r="79" ht="14.2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</row>
    <row r="80" ht="14.2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</row>
    <row r="81" ht="14.2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</row>
    <row r="82" ht="14.2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</row>
    <row r="83" ht="14.2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</row>
    <row r="84" ht="14.2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ht="14.2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</row>
    <row r="86" ht="14.2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</row>
    <row r="87" ht="14.2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</row>
    <row r="88" ht="14.2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</row>
    <row r="89" ht="14.2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</row>
    <row r="90" ht="14.2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</row>
    <row r="91" ht="14.2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</row>
    <row r="92" ht="14.2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</row>
    <row r="93" ht="14.2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</row>
    <row r="94" ht="14.2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</row>
    <row r="95" ht="14.2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ht="14.2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  <row r="97" ht="14.2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</row>
    <row r="98" ht="14.2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</row>
    <row r="99" ht="14.25" customHeight="1">
      <c r="A99" s="156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</row>
    <row r="100" ht="14.25" customHeight="1">
      <c r="A100" s="156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</row>
    <row r="101" ht="14.25" customHeight="1">
      <c r="A101" s="156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</row>
    <row r="102" ht="14.25" customHeight="1">
      <c r="A102" s="156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</row>
    <row r="103" ht="14.25" customHeight="1">
      <c r="A103" s="156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</row>
    <row r="104" ht="14.25" customHeight="1">
      <c r="A104" s="156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</row>
    <row r="105" ht="14.25" customHeight="1">
      <c r="A105" s="156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</row>
    <row r="106" ht="14.25" customHeight="1">
      <c r="A106" s="156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</row>
    <row r="107" ht="14.25" customHeight="1">
      <c r="A107" s="156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</row>
    <row r="108" ht="14.25" customHeight="1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</row>
    <row r="109" ht="14.25" customHeight="1">
      <c r="A109" s="156"/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</row>
    <row r="110" ht="14.25" customHeight="1">
      <c r="A110" s="156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35">
    <mergeCell ref="A1:B2"/>
    <mergeCell ref="C1:C2"/>
    <mergeCell ref="D1:J2"/>
    <mergeCell ref="K1:L1"/>
    <mergeCell ref="K2:L2"/>
    <mergeCell ref="A4:D4"/>
    <mergeCell ref="J4:L4"/>
    <mergeCell ref="B17:B18"/>
    <mergeCell ref="B19:B20"/>
    <mergeCell ref="C19:C20"/>
    <mergeCell ref="B21:B22"/>
    <mergeCell ref="C21:C22"/>
    <mergeCell ref="C17:C18"/>
    <mergeCell ref="B23:B24"/>
    <mergeCell ref="C23:C24"/>
    <mergeCell ref="B25:B26"/>
    <mergeCell ref="C25:C26"/>
    <mergeCell ref="B27:B28"/>
    <mergeCell ref="C27:C28"/>
    <mergeCell ref="C29:C30"/>
    <mergeCell ref="C31:C32"/>
    <mergeCell ref="C33:C34"/>
    <mergeCell ref="C35:C36"/>
    <mergeCell ref="A17:A36"/>
    <mergeCell ref="B29:B30"/>
    <mergeCell ref="B31:B32"/>
    <mergeCell ref="B33:B34"/>
    <mergeCell ref="B35:B36"/>
    <mergeCell ref="F4:H4"/>
    <mergeCell ref="D13:H13"/>
    <mergeCell ref="D14:H14"/>
    <mergeCell ref="K14:L14"/>
    <mergeCell ref="I17:I26"/>
    <mergeCell ref="K21:L21"/>
    <mergeCell ref="I27:I36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9.43"/>
    <col customWidth="1" min="3" max="3" width="12.0"/>
    <col customWidth="1" min="4" max="4" width="67.43"/>
    <col customWidth="1" min="5" max="5" width="29.71"/>
    <col customWidth="1" min="6" max="6" width="40.57"/>
    <col customWidth="1" min="7" max="25" width="10.71"/>
  </cols>
  <sheetData>
    <row r="1" ht="14.25" customHeight="1">
      <c r="A1" s="157"/>
    </row>
    <row r="2" ht="14.25" customHeight="1"/>
    <row r="3" ht="14.25" customHeight="1"/>
    <row r="4" ht="14.25" customHeight="1"/>
    <row r="5" ht="14.25" customHeight="1">
      <c r="A5" s="157" t="s">
        <v>146</v>
      </c>
      <c r="B5" s="157" t="s">
        <v>147</v>
      </c>
      <c r="C5" s="157"/>
      <c r="D5" s="157" t="s">
        <v>19</v>
      </c>
      <c r="E5" s="157" t="s">
        <v>148</v>
      </c>
      <c r="F5" s="157" t="s">
        <v>7</v>
      </c>
    </row>
    <row r="6" ht="14.25" customHeight="1">
      <c r="A6" s="157" t="s">
        <v>149</v>
      </c>
      <c r="B6" s="157"/>
      <c r="D6" s="158" t="s">
        <v>150</v>
      </c>
      <c r="E6" s="157" t="s">
        <v>6</v>
      </c>
      <c r="F6" s="157" t="s">
        <v>151</v>
      </c>
    </row>
    <row r="7" ht="14.25" customHeight="1">
      <c r="A7" s="157" t="s">
        <v>152</v>
      </c>
      <c r="B7" s="157" t="s">
        <v>153</v>
      </c>
      <c r="D7" s="158" t="s">
        <v>154</v>
      </c>
      <c r="E7" s="157" t="s">
        <v>155</v>
      </c>
      <c r="F7" s="157" t="s">
        <v>156</v>
      </c>
    </row>
    <row r="8" ht="14.25" customHeight="1">
      <c r="B8" s="159" t="s">
        <v>157</v>
      </c>
      <c r="D8" s="158" t="s">
        <v>158</v>
      </c>
      <c r="F8" s="157" t="s">
        <v>159</v>
      </c>
    </row>
    <row r="9" ht="14.25" customHeight="1">
      <c r="B9" s="157" t="s">
        <v>160</v>
      </c>
      <c r="D9" s="158" t="s">
        <v>161</v>
      </c>
      <c r="F9" s="157" t="s">
        <v>162</v>
      </c>
    </row>
    <row r="10" ht="14.25" customHeight="1">
      <c r="B10" s="157" t="s">
        <v>163</v>
      </c>
      <c r="D10" s="158" t="s">
        <v>164</v>
      </c>
      <c r="F10" s="157" t="s">
        <v>165</v>
      </c>
    </row>
    <row r="11" ht="14.25" customHeight="1">
      <c r="B11" s="157" t="s">
        <v>166</v>
      </c>
      <c r="D11" s="158" t="s">
        <v>167</v>
      </c>
      <c r="F11" s="157" t="s">
        <v>168</v>
      </c>
    </row>
    <row r="12" ht="14.25" customHeight="1">
      <c r="B12" s="159" t="s">
        <v>169</v>
      </c>
      <c r="D12" s="158" t="s">
        <v>170</v>
      </c>
      <c r="F12" s="157" t="s">
        <v>171</v>
      </c>
    </row>
    <row r="13" ht="14.25" customHeight="1">
      <c r="B13" s="157" t="s">
        <v>172</v>
      </c>
      <c r="D13" s="158" t="s">
        <v>173</v>
      </c>
    </row>
    <row r="14" ht="14.25" customHeight="1">
      <c r="B14" s="159" t="s">
        <v>174</v>
      </c>
      <c r="D14" s="158" t="s">
        <v>175</v>
      </c>
    </row>
    <row r="15" ht="14.25" customHeight="1">
      <c r="B15" s="157" t="s">
        <v>176</v>
      </c>
      <c r="D15" s="158" t="s">
        <v>177</v>
      </c>
    </row>
    <row r="16" ht="14.25" customHeight="1">
      <c r="B16" s="157"/>
      <c r="D16" s="158" t="s">
        <v>178</v>
      </c>
    </row>
    <row r="17" ht="25.5" customHeight="1">
      <c r="B17" s="157"/>
      <c r="D17" s="158" t="s">
        <v>179</v>
      </c>
    </row>
    <row r="18" ht="14.25" customHeight="1">
      <c r="B18" s="157"/>
      <c r="D18" s="158" t="s">
        <v>180</v>
      </c>
    </row>
    <row r="19" ht="36.0" customHeight="1">
      <c r="B19" s="159"/>
      <c r="D19" s="158" t="s">
        <v>181</v>
      </c>
    </row>
    <row r="20" ht="14.25" customHeight="1">
      <c r="B20" s="159"/>
      <c r="D20" s="160"/>
    </row>
    <row r="21" ht="14.25" customHeight="1">
      <c r="B21" s="157"/>
      <c r="D21" s="160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1">
    <mergeCell ref="A1:B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7.29"/>
    <col customWidth="1" min="3" max="3" width="24.71"/>
    <col customWidth="1" min="4" max="4" width="28.29"/>
    <col customWidth="1" min="5" max="5" width="31.0"/>
    <col customWidth="1" min="6" max="6" width="27.0"/>
    <col customWidth="1" min="7" max="7" width="25.14"/>
    <col customWidth="1" min="8" max="8" width="23.0"/>
    <col customWidth="1" min="9" max="9" width="20.86"/>
    <col customWidth="1" min="10" max="10" width="39.43"/>
    <col customWidth="1" min="11" max="11" width="25.86"/>
    <col customWidth="1" min="12" max="12" width="22.43"/>
    <col customWidth="1" min="13" max="13" width="36.0"/>
    <col customWidth="1" min="14" max="14" width="21.71"/>
    <col customWidth="1" min="15" max="15" width="31.86"/>
  </cols>
  <sheetData>
    <row r="1">
      <c r="A1" s="161" t="s">
        <v>182</v>
      </c>
      <c r="B1" s="5"/>
      <c r="C1" s="5"/>
      <c r="D1" s="2"/>
      <c r="E1" s="161" t="s">
        <v>183</v>
      </c>
      <c r="F1" s="2"/>
      <c r="G1" s="161" t="s">
        <v>184</v>
      </c>
      <c r="H1" s="5"/>
      <c r="I1" s="5"/>
      <c r="J1" s="5"/>
      <c r="K1" s="5"/>
      <c r="L1" s="2"/>
      <c r="M1" s="162" t="s">
        <v>185</v>
      </c>
      <c r="N1" s="2"/>
      <c r="O1" s="163"/>
      <c r="P1" s="164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>
      <c r="A2" s="166"/>
      <c r="D2" s="167"/>
      <c r="E2" s="166"/>
      <c r="F2" s="167"/>
      <c r="G2" s="166"/>
      <c r="L2" s="167"/>
      <c r="M2" s="10"/>
      <c r="N2" s="11"/>
      <c r="O2" s="94"/>
      <c r="P2" s="164"/>
      <c r="Q2" s="165"/>
      <c r="R2" s="165"/>
      <c r="S2" s="165"/>
      <c r="T2" s="165"/>
      <c r="U2" s="165"/>
      <c r="V2" s="165"/>
      <c r="W2" s="165"/>
      <c r="X2" s="165"/>
      <c r="Y2" s="165"/>
      <c r="Z2" s="165"/>
    </row>
    <row r="3">
      <c r="A3" s="166"/>
      <c r="D3" s="167"/>
      <c r="E3" s="166"/>
      <c r="F3" s="167"/>
      <c r="G3" s="166"/>
      <c r="L3" s="167"/>
      <c r="M3" s="162" t="s">
        <v>186</v>
      </c>
      <c r="N3" s="2"/>
      <c r="O3" s="94"/>
      <c r="P3" s="164"/>
      <c r="Q3" s="165"/>
      <c r="R3" s="165"/>
      <c r="S3" s="165"/>
      <c r="T3" s="165"/>
      <c r="U3" s="165"/>
      <c r="V3" s="165"/>
      <c r="W3" s="165"/>
      <c r="X3" s="165"/>
      <c r="Y3" s="165"/>
      <c r="Z3" s="165"/>
    </row>
    <row r="4">
      <c r="A4" s="10"/>
      <c r="B4" s="13"/>
      <c r="C4" s="13"/>
      <c r="D4" s="11"/>
      <c r="E4" s="10"/>
      <c r="F4" s="11"/>
      <c r="G4" s="10"/>
      <c r="H4" s="13"/>
      <c r="I4" s="13"/>
      <c r="J4" s="13"/>
      <c r="K4" s="13"/>
      <c r="L4" s="11"/>
      <c r="M4" s="10"/>
      <c r="N4" s="11"/>
      <c r="O4" s="116"/>
      <c r="P4" s="164"/>
      <c r="Q4" s="165"/>
      <c r="R4" s="165"/>
      <c r="S4" s="165"/>
      <c r="T4" s="165"/>
      <c r="U4" s="165"/>
      <c r="V4" s="165"/>
      <c r="W4" s="165"/>
      <c r="X4" s="165"/>
      <c r="Y4" s="165"/>
      <c r="Z4" s="165"/>
    </row>
    <row r="5">
      <c r="A5" s="168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7"/>
      <c r="P5" s="164"/>
      <c r="Q5" s="165"/>
      <c r="R5" s="165"/>
      <c r="S5" s="165"/>
      <c r="T5" s="165"/>
      <c r="U5" s="165"/>
      <c r="V5" s="165"/>
      <c r="W5" s="165"/>
      <c r="X5" s="165"/>
      <c r="Y5" s="165"/>
      <c r="Z5" s="165"/>
    </row>
    <row r="6">
      <c r="A6" s="169"/>
      <c r="B6" s="16" t="s">
        <v>187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40"/>
    </row>
    <row r="7" ht="73.5" customHeight="1">
      <c r="A7" s="12"/>
      <c r="B7" s="170" t="s">
        <v>188</v>
      </c>
      <c r="C7" s="170" t="s">
        <v>175</v>
      </c>
      <c r="D7" s="170" t="s">
        <v>189</v>
      </c>
      <c r="E7" s="170" t="s">
        <v>181</v>
      </c>
      <c r="F7" s="170" t="s">
        <v>178</v>
      </c>
      <c r="G7" s="170" t="s">
        <v>154</v>
      </c>
      <c r="H7" s="170" t="s">
        <v>161</v>
      </c>
      <c r="I7" s="170" t="s">
        <v>177</v>
      </c>
      <c r="J7" s="170" t="s">
        <v>170</v>
      </c>
      <c r="K7" s="170" t="s">
        <v>173</v>
      </c>
      <c r="L7" s="170" t="s">
        <v>164</v>
      </c>
      <c r="M7" s="170" t="s">
        <v>190</v>
      </c>
      <c r="N7" s="170" t="s">
        <v>191</v>
      </c>
      <c r="O7" s="170" t="s">
        <v>179</v>
      </c>
      <c r="P7" s="40"/>
    </row>
    <row r="8">
      <c r="A8" s="171" t="s">
        <v>192</v>
      </c>
      <c r="B8" s="30" t="s">
        <v>193</v>
      </c>
      <c r="C8" s="30" t="s">
        <v>194</v>
      </c>
      <c r="D8" s="30" t="s">
        <v>195</v>
      </c>
      <c r="E8" s="30" t="s">
        <v>196</v>
      </c>
      <c r="F8" s="30" t="s">
        <v>197</v>
      </c>
      <c r="G8" s="30" t="s">
        <v>198</v>
      </c>
      <c r="H8" s="30" t="s">
        <v>199</v>
      </c>
      <c r="I8" s="30" t="s">
        <v>200</v>
      </c>
      <c r="J8" s="30" t="s">
        <v>201</v>
      </c>
      <c r="K8" s="30" t="s">
        <v>202</v>
      </c>
      <c r="L8" s="30" t="s">
        <v>203</v>
      </c>
      <c r="M8" s="172" t="s">
        <v>204</v>
      </c>
      <c r="N8" s="30" t="s">
        <v>205</v>
      </c>
      <c r="O8" s="30" t="s">
        <v>206</v>
      </c>
      <c r="P8" s="40"/>
    </row>
    <row r="9">
      <c r="A9" s="173"/>
      <c r="B9" s="30" t="s">
        <v>207</v>
      </c>
      <c r="C9" s="30" t="s">
        <v>208</v>
      </c>
      <c r="D9" s="30" t="s">
        <v>209</v>
      </c>
      <c r="E9" s="30" t="s">
        <v>210</v>
      </c>
      <c r="F9" s="30" t="s">
        <v>211</v>
      </c>
      <c r="G9" s="30" t="s">
        <v>212</v>
      </c>
      <c r="H9" s="30" t="s">
        <v>213</v>
      </c>
      <c r="I9" s="30" t="s">
        <v>214</v>
      </c>
      <c r="J9" s="30" t="s">
        <v>215</v>
      </c>
      <c r="K9" s="30" t="s">
        <v>216</v>
      </c>
      <c r="L9" s="30" t="s">
        <v>217</v>
      </c>
      <c r="M9" s="30" t="s">
        <v>218</v>
      </c>
      <c r="N9" s="30" t="s">
        <v>219</v>
      </c>
      <c r="O9" s="30" t="s">
        <v>220</v>
      </c>
      <c r="P9" s="40"/>
    </row>
    <row r="10">
      <c r="A10" s="173"/>
      <c r="B10" s="30" t="s">
        <v>221</v>
      </c>
      <c r="C10" s="30" t="s">
        <v>222</v>
      </c>
      <c r="D10" s="30" t="s">
        <v>223</v>
      </c>
      <c r="E10" s="30" t="s">
        <v>224</v>
      </c>
      <c r="F10" s="30" t="s">
        <v>225</v>
      </c>
      <c r="G10" s="30" t="s">
        <v>226</v>
      </c>
      <c r="H10" s="30" t="s">
        <v>227</v>
      </c>
      <c r="I10" s="30" t="s">
        <v>228</v>
      </c>
      <c r="J10" s="30" t="s">
        <v>229</v>
      </c>
      <c r="K10" s="30" t="s">
        <v>230</v>
      </c>
      <c r="L10" s="30" t="s">
        <v>231</v>
      </c>
      <c r="M10" s="30" t="s">
        <v>232</v>
      </c>
      <c r="N10" s="30" t="s">
        <v>233</v>
      </c>
      <c r="O10" s="30" t="s">
        <v>234</v>
      </c>
      <c r="P10" s="40"/>
    </row>
    <row r="11">
      <c r="A11" s="173"/>
      <c r="B11" s="30" t="s">
        <v>235</v>
      </c>
      <c r="C11" s="30" t="s">
        <v>236</v>
      </c>
      <c r="D11" s="30" t="s">
        <v>237</v>
      </c>
      <c r="E11" s="30" t="s">
        <v>238</v>
      </c>
      <c r="F11" s="30" t="s">
        <v>239</v>
      </c>
      <c r="G11" s="30" t="s">
        <v>240</v>
      </c>
      <c r="H11" s="30" t="s">
        <v>241</v>
      </c>
      <c r="I11" s="30" t="s">
        <v>242</v>
      </c>
      <c r="J11" s="30" t="s">
        <v>243</v>
      </c>
      <c r="K11" s="30" t="s">
        <v>244</v>
      </c>
      <c r="L11" s="30" t="s">
        <v>245</v>
      </c>
      <c r="M11" s="30" t="s">
        <v>246</v>
      </c>
      <c r="N11" s="30" t="s">
        <v>247</v>
      </c>
      <c r="O11" s="30" t="s">
        <v>248</v>
      </c>
      <c r="P11" s="40"/>
    </row>
    <row r="12">
      <c r="A12" s="173"/>
      <c r="B12" s="30" t="s">
        <v>249</v>
      </c>
      <c r="C12" s="30" t="s">
        <v>250</v>
      </c>
      <c r="D12" s="30" t="s">
        <v>251</v>
      </c>
      <c r="E12" s="30" t="s">
        <v>252</v>
      </c>
      <c r="F12" s="30" t="s">
        <v>253</v>
      </c>
      <c r="G12" s="174"/>
      <c r="H12" s="30" t="s">
        <v>254</v>
      </c>
      <c r="I12" s="30" t="s">
        <v>255</v>
      </c>
      <c r="J12" s="30" t="s">
        <v>256</v>
      </c>
      <c r="K12" s="174"/>
      <c r="L12" s="30" t="s">
        <v>257</v>
      </c>
      <c r="M12" s="30" t="s">
        <v>258</v>
      </c>
      <c r="N12" s="30" t="s">
        <v>259</v>
      </c>
      <c r="O12" s="30" t="s">
        <v>260</v>
      </c>
      <c r="P12" s="40"/>
    </row>
    <row r="13">
      <c r="A13" s="173"/>
      <c r="B13" s="30" t="s">
        <v>261</v>
      </c>
      <c r="C13" s="174"/>
      <c r="D13" s="30" t="s">
        <v>262</v>
      </c>
      <c r="E13" s="30" t="s">
        <v>263</v>
      </c>
      <c r="F13" s="30" t="s">
        <v>264</v>
      </c>
      <c r="G13" s="174"/>
      <c r="H13" s="174"/>
      <c r="I13" s="30" t="s">
        <v>265</v>
      </c>
      <c r="J13" s="30" t="s">
        <v>266</v>
      </c>
      <c r="K13" s="174"/>
      <c r="L13" s="30" t="s">
        <v>267</v>
      </c>
      <c r="M13" s="30" t="s">
        <v>268</v>
      </c>
      <c r="N13" s="30" t="s">
        <v>269</v>
      </c>
      <c r="O13" s="30" t="s">
        <v>270</v>
      </c>
      <c r="P13" s="40"/>
    </row>
    <row r="14">
      <c r="A14" s="173"/>
      <c r="B14" s="30" t="s">
        <v>271</v>
      </c>
      <c r="C14" s="174"/>
      <c r="D14" s="30" t="s">
        <v>272</v>
      </c>
      <c r="E14" s="30" t="s">
        <v>273</v>
      </c>
      <c r="F14" s="174"/>
      <c r="G14" s="174"/>
      <c r="H14" s="174"/>
      <c r="I14" s="174"/>
      <c r="J14" s="30" t="s">
        <v>274</v>
      </c>
      <c r="K14" s="174"/>
      <c r="L14" s="30" t="s">
        <v>275</v>
      </c>
      <c r="M14" s="30" t="s">
        <v>276</v>
      </c>
      <c r="N14" s="174"/>
      <c r="O14" s="174"/>
      <c r="P14" s="40"/>
    </row>
    <row r="15">
      <c r="A15" s="173"/>
      <c r="B15" s="30" t="s">
        <v>277</v>
      </c>
      <c r="C15" s="174"/>
      <c r="D15" s="175" t="s">
        <v>278</v>
      </c>
      <c r="E15" s="30" t="s">
        <v>279</v>
      </c>
      <c r="F15" s="174"/>
      <c r="G15" s="174"/>
      <c r="H15" s="174"/>
      <c r="I15" s="174"/>
      <c r="J15" s="30" t="s">
        <v>280</v>
      </c>
      <c r="K15" s="174"/>
      <c r="L15" s="30" t="s">
        <v>281</v>
      </c>
      <c r="M15" s="30" t="s">
        <v>282</v>
      </c>
      <c r="N15" s="174"/>
      <c r="O15" s="174"/>
      <c r="P15" s="40"/>
    </row>
    <row r="16">
      <c r="A16" s="173"/>
      <c r="B16" s="176" t="s">
        <v>283</v>
      </c>
      <c r="C16" s="174"/>
      <c r="D16" s="175" t="s">
        <v>284</v>
      </c>
      <c r="E16" s="174"/>
      <c r="F16" s="174"/>
      <c r="G16" s="174"/>
      <c r="H16" s="174"/>
      <c r="I16" s="174"/>
      <c r="J16" s="30" t="s">
        <v>285</v>
      </c>
      <c r="K16" s="174"/>
      <c r="L16" s="30" t="s">
        <v>286</v>
      </c>
      <c r="M16" s="172" t="s">
        <v>287</v>
      </c>
      <c r="N16" s="174"/>
      <c r="O16" s="174"/>
      <c r="P16" s="40"/>
    </row>
    <row r="17">
      <c r="A17" s="173"/>
      <c r="B17" s="30" t="s">
        <v>288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6" t="s">
        <v>289</v>
      </c>
      <c r="M17" s="30" t="s">
        <v>290</v>
      </c>
      <c r="N17" s="174"/>
      <c r="O17" s="174"/>
      <c r="P17" s="40"/>
    </row>
    <row r="18">
      <c r="A18" s="173"/>
      <c r="B18" s="30" t="s">
        <v>291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30" t="s">
        <v>292</v>
      </c>
      <c r="N18" s="174"/>
      <c r="O18" s="174"/>
      <c r="P18" s="40"/>
    </row>
    <row r="19">
      <c r="A19" s="173"/>
      <c r="B19" s="30" t="s">
        <v>293</v>
      </c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30" t="s">
        <v>294</v>
      </c>
      <c r="N19" s="174"/>
      <c r="O19" s="174"/>
      <c r="P19" s="40"/>
    </row>
    <row r="20" ht="44.25" customHeight="1">
      <c r="A20" s="173"/>
      <c r="B20" s="30" t="s">
        <v>295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30" t="s">
        <v>296</v>
      </c>
      <c r="N20" s="174"/>
      <c r="O20" s="174"/>
      <c r="P20" s="40"/>
    </row>
    <row r="21">
      <c r="A21" s="173"/>
      <c r="B21" s="30" t="s">
        <v>297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40"/>
    </row>
    <row r="22" ht="39.75" customHeight="1">
      <c r="A22" s="173"/>
      <c r="B22" s="30" t="s">
        <v>298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30" t="s">
        <v>299</v>
      </c>
      <c r="N22" s="174"/>
      <c r="O22" s="174"/>
      <c r="P22" s="40"/>
    </row>
    <row r="23">
      <c r="A23" s="173"/>
      <c r="B23" s="30" t="s">
        <v>300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30" t="s">
        <v>301</v>
      </c>
      <c r="N23" s="174"/>
      <c r="O23" s="174"/>
      <c r="P23" s="40"/>
    </row>
    <row r="24">
      <c r="A24" s="173"/>
      <c r="B24" s="30" t="s">
        <v>302</v>
      </c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30" t="s">
        <v>303</v>
      </c>
      <c r="N24" s="174"/>
      <c r="O24" s="174"/>
      <c r="P24" s="40"/>
    </row>
    <row r="25">
      <c r="A25" s="173"/>
      <c r="B25" s="30" t="s">
        <v>304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30" t="s">
        <v>305</v>
      </c>
      <c r="N25" s="174"/>
      <c r="O25" s="174"/>
      <c r="P25" s="40"/>
    </row>
    <row r="26" ht="72.0" customHeight="1">
      <c r="A26" s="173"/>
      <c r="B26" s="30" t="s">
        <v>306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30" t="s">
        <v>307</v>
      </c>
      <c r="N26" s="174"/>
      <c r="O26" s="174"/>
      <c r="P26" s="40"/>
    </row>
    <row r="27">
      <c r="A27" s="173"/>
      <c r="B27" s="30" t="s">
        <v>308</v>
      </c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30" t="s">
        <v>309</v>
      </c>
      <c r="N27" s="174"/>
      <c r="O27" s="174"/>
      <c r="P27" s="40"/>
    </row>
    <row r="28">
      <c r="A28" s="173"/>
      <c r="B28" s="30" t="s">
        <v>310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40"/>
    </row>
    <row r="29">
      <c r="A29" s="173"/>
      <c r="B29" s="30" t="s">
        <v>311</v>
      </c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40"/>
    </row>
    <row r="30">
      <c r="A30" s="173"/>
      <c r="B30" s="30" t="s">
        <v>312</v>
      </c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40"/>
    </row>
    <row r="31">
      <c r="A31" s="173"/>
      <c r="B31" s="30" t="s">
        <v>313</v>
      </c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40"/>
    </row>
    <row r="32">
      <c r="A32" s="12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40"/>
    </row>
    <row r="33">
      <c r="A33" s="40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40"/>
    </row>
    <row r="34">
      <c r="A34" s="40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40"/>
    </row>
    <row r="35">
      <c r="A35" s="40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40"/>
    </row>
    <row r="36">
      <c r="A36" s="40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40"/>
    </row>
    <row r="37"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</row>
    <row r="38"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</row>
    <row r="39"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</row>
    <row r="40"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</row>
    <row r="41"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</row>
    <row r="42"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</row>
    <row r="43"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</row>
    <row r="44"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</row>
    <row r="45"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</row>
    <row r="46"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</row>
    <row r="47">
      <c r="B47" s="178"/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</row>
    <row r="48">
      <c r="B48" s="178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</row>
    <row r="49">
      <c r="B49" s="178"/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</row>
    <row r="50">
      <c r="B50" s="178"/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</row>
    <row r="51"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</row>
    <row r="52"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</row>
    <row r="53"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</row>
    <row r="54">
      <c r="B54" s="178"/>
      <c r="C54" s="178"/>
      <c r="D54" s="178"/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</row>
    <row r="55"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</row>
    <row r="56"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</row>
    <row r="57"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</row>
    <row r="58">
      <c r="B58" s="178"/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</row>
    <row r="59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</row>
    <row r="60">
      <c r="B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</row>
    <row r="61"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</row>
    <row r="62">
      <c r="B62" s="178"/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</row>
    <row r="63"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</row>
    <row r="64">
      <c r="B64" s="178"/>
      <c r="C64" s="178"/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</row>
    <row r="65"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</row>
    <row r="66">
      <c r="B66" s="178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</row>
    <row r="67"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</row>
    <row r="68"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</row>
    <row r="69"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</row>
    <row r="70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</row>
    <row r="71"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</row>
    <row r="72"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</row>
    <row r="73"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</row>
    <row r="74"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</row>
    <row r="75"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</row>
    <row r="76"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</row>
    <row r="77"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</row>
    <row r="78"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</row>
    <row r="79"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</row>
    <row r="80"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</row>
    <row r="81"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</row>
    <row r="82"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</row>
    <row r="83"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</row>
    <row r="84"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</row>
    <row r="85"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</row>
    <row r="86"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</row>
    <row r="87"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</row>
    <row r="88"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</row>
    <row r="89">
      <c r="B89" s="178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</row>
    <row r="90">
      <c r="B90" s="178"/>
      <c r="C90" s="178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</row>
    <row r="91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</row>
    <row r="92">
      <c r="B92" s="178"/>
      <c r="C92" s="178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</row>
    <row r="93"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</row>
    <row r="94">
      <c r="B94" s="178"/>
      <c r="C94" s="178"/>
      <c r="D94" s="178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</row>
    <row r="95"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</row>
    <row r="96">
      <c r="B96" s="178"/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</row>
    <row r="97"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</row>
    <row r="98"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</row>
    <row r="99"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</row>
    <row r="100"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</row>
    <row r="101"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</row>
    <row r="102"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</row>
    <row r="103"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</row>
    <row r="104"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</row>
    <row r="105">
      <c r="B105" s="178"/>
      <c r="C105" s="178"/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</row>
    <row r="106"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</row>
    <row r="107"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</row>
    <row r="108"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</row>
    <row r="109"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</row>
    <row r="110"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</row>
    <row r="111"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</row>
    <row r="112"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</row>
    <row r="113"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</row>
    <row r="114">
      <c r="B114" s="178"/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</row>
    <row r="115"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</row>
    <row r="116"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</row>
    <row r="117"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</row>
    <row r="118"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</row>
    <row r="119"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</row>
    <row r="120">
      <c r="B120" s="178"/>
      <c r="C120" s="178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</row>
    <row r="121">
      <c r="B121" s="178"/>
      <c r="C121" s="178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</row>
    <row r="122">
      <c r="B122" s="178"/>
      <c r="C122" s="178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</row>
    <row r="123">
      <c r="B123" s="178"/>
      <c r="C123" s="178"/>
      <c r="D123" s="178"/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</row>
    <row r="124">
      <c r="B124" s="178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</row>
    <row r="125"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</row>
    <row r="126"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</row>
    <row r="127">
      <c r="B127" s="178"/>
      <c r="C127" s="178"/>
      <c r="D127" s="178"/>
      <c r="E127" s="178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</row>
    <row r="128"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</row>
    <row r="129"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</row>
    <row r="130"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</row>
    <row r="131">
      <c r="B131" s="178"/>
      <c r="C131" s="178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</row>
    <row r="132">
      <c r="B132" s="178"/>
      <c r="C132" s="178"/>
      <c r="D132" s="178"/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</row>
    <row r="133"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</row>
    <row r="134"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</row>
    <row r="135"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</row>
    <row r="136"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</row>
    <row r="137"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</row>
    <row r="138"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</row>
    <row r="139"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</row>
    <row r="140"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</row>
    <row r="141"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</row>
    <row r="142"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</row>
    <row r="143"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</row>
    <row r="144"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</row>
    <row r="145"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</row>
    <row r="146"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</row>
    <row r="147"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</row>
    <row r="148"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</row>
    <row r="149"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</row>
    <row r="150"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</row>
    <row r="151"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</row>
    <row r="152"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</row>
    <row r="153"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</row>
    <row r="154"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</row>
    <row r="155"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</row>
    <row r="156"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</row>
    <row r="157"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</row>
    <row r="158"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</row>
    <row r="159"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</row>
    <row r="160"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</row>
    <row r="161"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</row>
    <row r="162"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</row>
    <row r="163"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</row>
    <row r="164"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</row>
    <row r="165"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</row>
    <row r="166"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</row>
    <row r="167"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</row>
    <row r="168"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</row>
    <row r="169"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</row>
    <row r="170"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</row>
    <row r="171"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</row>
    <row r="172"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</row>
    <row r="173"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</row>
    <row r="174"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</row>
    <row r="175"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</row>
    <row r="176"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</row>
    <row r="177"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</row>
    <row r="178"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</row>
    <row r="179"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</row>
    <row r="180"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</row>
    <row r="181">
      <c r="B181" s="178"/>
      <c r="C181" s="178"/>
      <c r="D181" s="178"/>
      <c r="E181" s="178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</row>
    <row r="182">
      <c r="B182" s="178"/>
      <c r="C182" s="178"/>
      <c r="D182" s="178"/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</row>
    <row r="183">
      <c r="B183" s="178"/>
      <c r="C183" s="178"/>
      <c r="D183" s="178"/>
      <c r="E183" s="178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</row>
    <row r="184">
      <c r="B184" s="178"/>
      <c r="C184" s="178"/>
      <c r="D184" s="178"/>
      <c r="E184" s="178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</row>
    <row r="185">
      <c r="B185" s="178"/>
      <c r="C185" s="178"/>
      <c r="D185" s="178"/>
      <c r="E185" s="178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</row>
    <row r="186">
      <c r="B186" s="178"/>
      <c r="C186" s="178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</row>
    <row r="187">
      <c r="B187" s="178"/>
      <c r="C187" s="178"/>
      <c r="D187" s="178"/>
      <c r="E187" s="178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</row>
    <row r="188">
      <c r="B188" s="178"/>
      <c r="C188" s="178"/>
      <c r="D188" s="178"/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</row>
    <row r="189">
      <c r="B189" s="178"/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</row>
    <row r="190">
      <c r="B190" s="178"/>
      <c r="C190" s="178"/>
      <c r="D190" s="178"/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</row>
    <row r="191">
      <c r="B191" s="178"/>
      <c r="C191" s="178"/>
      <c r="D191" s="178"/>
      <c r="E191" s="178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</row>
    <row r="192">
      <c r="B192" s="178"/>
      <c r="C192" s="178"/>
      <c r="D192" s="178"/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</row>
    <row r="193">
      <c r="B193" s="178"/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</row>
    <row r="194">
      <c r="B194" s="178"/>
      <c r="C194" s="178"/>
      <c r="D194" s="178"/>
      <c r="E194" s="178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</row>
    <row r="195">
      <c r="B195" s="178"/>
      <c r="C195" s="178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</row>
    <row r="196">
      <c r="B196" s="178"/>
      <c r="C196" s="178"/>
      <c r="D196" s="178"/>
      <c r="E196" s="178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</row>
    <row r="197">
      <c r="B197" s="178"/>
      <c r="C197" s="178"/>
      <c r="D197" s="178"/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</row>
    <row r="198">
      <c r="B198" s="178"/>
      <c r="C198" s="178"/>
      <c r="D198" s="178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</row>
    <row r="199">
      <c r="B199" s="178"/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</row>
    <row r="200">
      <c r="B200" s="178"/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</row>
    <row r="201">
      <c r="B201" s="178"/>
      <c r="C201" s="178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</row>
    <row r="202">
      <c r="B202" s="178"/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</row>
    <row r="203">
      <c r="B203" s="178"/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</row>
    <row r="204">
      <c r="B204" s="178"/>
      <c r="C204" s="178"/>
      <c r="D204" s="178"/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</row>
    <row r="205">
      <c r="B205" s="178"/>
      <c r="C205" s="178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</row>
    <row r="206">
      <c r="B206" s="178"/>
      <c r="C206" s="178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</row>
    <row r="207">
      <c r="B207" s="178"/>
      <c r="C207" s="178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</row>
    <row r="208">
      <c r="B208" s="178"/>
      <c r="C208" s="178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</row>
    <row r="209"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</row>
    <row r="210">
      <c r="B210" s="178"/>
      <c r="C210" s="178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</row>
    <row r="211"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</row>
    <row r="212"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</row>
    <row r="213"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</row>
    <row r="214"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</row>
    <row r="215">
      <c r="B215" s="178"/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</row>
    <row r="216">
      <c r="B216" s="178"/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</row>
    <row r="217">
      <c r="B217" s="178"/>
      <c r="C217" s="178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</row>
    <row r="218"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</row>
    <row r="219">
      <c r="B219" s="178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</row>
    <row r="220"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</row>
    <row r="221">
      <c r="B221" s="178"/>
      <c r="C221" s="178"/>
      <c r="D221" s="178"/>
      <c r="E221" s="178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</row>
    <row r="222">
      <c r="B222" s="178"/>
      <c r="C222" s="178"/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</row>
    <row r="223">
      <c r="B223" s="178"/>
      <c r="C223" s="178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</row>
    <row r="224">
      <c r="B224" s="178"/>
      <c r="C224" s="178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</row>
    <row r="225">
      <c r="B225" s="178"/>
      <c r="C225" s="178"/>
      <c r="D225" s="178"/>
      <c r="E225" s="178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</row>
    <row r="226">
      <c r="B226" s="178"/>
      <c r="C226" s="178"/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</row>
    <row r="227">
      <c r="B227" s="178"/>
      <c r="C227" s="178"/>
      <c r="D227" s="178"/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</row>
    <row r="228">
      <c r="B228" s="178"/>
      <c r="C228" s="178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</row>
    <row r="229">
      <c r="B229" s="178"/>
      <c r="C229" s="178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</row>
    <row r="230">
      <c r="B230" s="178"/>
      <c r="C230" s="178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</row>
    <row r="231">
      <c r="B231" s="178"/>
      <c r="C231" s="178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</row>
    <row r="232">
      <c r="B232" s="178"/>
      <c r="C232" s="178"/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</row>
    <row r="233">
      <c r="B233" s="178"/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</row>
    <row r="234">
      <c r="B234" s="178"/>
      <c r="C234" s="178"/>
      <c r="D234" s="178"/>
      <c r="E234" s="178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</row>
    <row r="235">
      <c r="B235" s="178"/>
      <c r="C235" s="178"/>
      <c r="D235" s="178"/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</row>
    <row r="236">
      <c r="B236" s="178"/>
      <c r="C236" s="178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</row>
    <row r="237">
      <c r="B237" s="178"/>
      <c r="C237" s="178"/>
      <c r="D237" s="178"/>
      <c r="E237" s="178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</row>
    <row r="238">
      <c r="B238" s="178"/>
      <c r="C238" s="178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</row>
    <row r="239">
      <c r="B239" s="178"/>
      <c r="C239" s="178"/>
      <c r="D239" s="178"/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</row>
    <row r="240">
      <c r="B240" s="178"/>
      <c r="C240" s="178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</row>
    <row r="241">
      <c r="B241" s="178"/>
      <c r="C241" s="178"/>
      <c r="D241" s="178"/>
      <c r="E241" s="178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</row>
    <row r="242">
      <c r="B242" s="178"/>
      <c r="C242" s="178"/>
      <c r="D242" s="178"/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</row>
    <row r="243">
      <c r="B243" s="178"/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</row>
    <row r="244">
      <c r="B244" s="178"/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</row>
    <row r="245">
      <c r="B245" s="178"/>
      <c r="C245" s="178"/>
      <c r="D245" s="178"/>
      <c r="E245" s="178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</row>
    <row r="246">
      <c r="B246" s="178"/>
      <c r="C246" s="178"/>
      <c r="D246" s="178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</row>
    <row r="247">
      <c r="B247" s="178"/>
      <c r="C247" s="178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</row>
    <row r="248">
      <c r="B248" s="178"/>
      <c r="C248" s="178"/>
      <c r="D248" s="178"/>
      <c r="E248" s="178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</row>
    <row r="249">
      <c r="B249" s="178"/>
      <c r="C249" s="178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</row>
    <row r="250">
      <c r="B250" s="178"/>
      <c r="C250" s="178"/>
      <c r="D250" s="178"/>
      <c r="E250" s="178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</row>
    <row r="251">
      <c r="B251" s="178"/>
      <c r="C251" s="178"/>
      <c r="D251" s="178"/>
      <c r="E251" s="178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</row>
    <row r="252">
      <c r="B252" s="178"/>
      <c r="C252" s="178"/>
      <c r="D252" s="178"/>
      <c r="E252" s="178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</row>
    <row r="253">
      <c r="B253" s="178"/>
      <c r="C253" s="178"/>
      <c r="D253" s="178"/>
      <c r="E253" s="178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</row>
    <row r="254">
      <c r="B254" s="178"/>
      <c r="C254" s="178"/>
      <c r="D254" s="178"/>
      <c r="E254" s="178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</row>
    <row r="255">
      <c r="B255" s="178"/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</row>
    <row r="256">
      <c r="B256" s="178"/>
      <c r="C256" s="178"/>
      <c r="D256" s="178"/>
      <c r="E256" s="178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</row>
    <row r="257">
      <c r="B257" s="178"/>
      <c r="C257" s="178"/>
      <c r="D257" s="178"/>
      <c r="E257" s="178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</row>
    <row r="258">
      <c r="B258" s="178"/>
      <c r="C258" s="178"/>
      <c r="D258" s="178"/>
      <c r="E258" s="178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</row>
    <row r="259">
      <c r="B259" s="178"/>
      <c r="C259" s="178"/>
      <c r="D259" s="178"/>
      <c r="E259" s="178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</row>
    <row r="260">
      <c r="B260" s="178"/>
      <c r="C260" s="178"/>
      <c r="D260" s="178"/>
      <c r="E260" s="178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</row>
    <row r="261">
      <c r="B261" s="178"/>
      <c r="C261" s="178"/>
      <c r="D261" s="178"/>
      <c r="E261" s="178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</row>
    <row r="262">
      <c r="B262" s="178"/>
      <c r="C262" s="178"/>
      <c r="D262" s="178"/>
      <c r="E262" s="178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</row>
    <row r="263">
      <c r="B263" s="178"/>
      <c r="C263" s="178"/>
      <c r="D263" s="178"/>
      <c r="E263" s="178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</row>
    <row r="264">
      <c r="B264" s="178"/>
      <c r="C264" s="178"/>
      <c r="D264" s="178"/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</row>
    <row r="265">
      <c r="B265" s="178"/>
      <c r="C265" s="178"/>
      <c r="D265" s="178"/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</row>
    <row r="266">
      <c r="B266" s="178"/>
      <c r="C266" s="178"/>
      <c r="D266" s="178"/>
      <c r="E266" s="178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</row>
    <row r="267">
      <c r="B267" s="178"/>
      <c r="C267" s="178"/>
      <c r="D267" s="178"/>
      <c r="E267" s="178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</row>
    <row r="268">
      <c r="B268" s="178"/>
      <c r="C268" s="178"/>
      <c r="D268" s="178"/>
      <c r="E268" s="178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</row>
    <row r="269">
      <c r="B269" s="178"/>
      <c r="C269" s="178"/>
      <c r="D269" s="178"/>
      <c r="E269" s="178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</row>
    <row r="270"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</row>
    <row r="271"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</row>
    <row r="272"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</row>
    <row r="273">
      <c r="B273" s="178"/>
      <c r="C273" s="178"/>
      <c r="D273" s="178"/>
      <c r="E273" s="178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</row>
    <row r="274">
      <c r="B274" s="178"/>
      <c r="C274" s="178"/>
      <c r="D274" s="178"/>
      <c r="E274" s="178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</row>
    <row r="275">
      <c r="B275" s="178"/>
      <c r="C275" s="178"/>
      <c r="D275" s="178"/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</row>
    <row r="276">
      <c r="B276" s="178"/>
      <c r="C276" s="178"/>
      <c r="D276" s="178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</row>
    <row r="277"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</row>
    <row r="278"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</row>
    <row r="279"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</row>
    <row r="280"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</row>
    <row r="281"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</row>
    <row r="282"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</row>
    <row r="283"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</row>
    <row r="284"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</row>
    <row r="285"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</row>
    <row r="286"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</row>
    <row r="287"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</row>
    <row r="288"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</row>
    <row r="289"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</row>
    <row r="290"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</row>
    <row r="291"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</row>
    <row r="292"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</row>
    <row r="293"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</row>
    <row r="294"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</row>
    <row r="295"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</row>
    <row r="296"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</row>
    <row r="297"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</row>
    <row r="298"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</row>
    <row r="299"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</row>
    <row r="300"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</row>
    <row r="301"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</row>
    <row r="302"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</row>
    <row r="303"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</row>
    <row r="304"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</row>
    <row r="305"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</row>
    <row r="306"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</row>
    <row r="307"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</row>
    <row r="308"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</row>
    <row r="309"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</row>
    <row r="310"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</row>
    <row r="311"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</row>
    <row r="312"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</row>
    <row r="313"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</row>
    <row r="314"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</row>
    <row r="315"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</row>
    <row r="316"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</row>
    <row r="317"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</row>
    <row r="318"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</row>
    <row r="319"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</row>
    <row r="320"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</row>
    <row r="321"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</row>
    <row r="322"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</row>
    <row r="323"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</row>
    <row r="324"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</row>
    <row r="325"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</row>
    <row r="326"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</row>
    <row r="327"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</row>
    <row r="328"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</row>
    <row r="329"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</row>
    <row r="330"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</row>
    <row r="331"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</row>
    <row r="332"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</row>
    <row r="333"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</row>
    <row r="334"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</row>
    <row r="335"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</row>
    <row r="336"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</row>
    <row r="337"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</row>
    <row r="338"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</row>
    <row r="339"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</row>
    <row r="340"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</row>
    <row r="341"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</row>
    <row r="342"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</row>
    <row r="343"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</row>
    <row r="344"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</row>
    <row r="345"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</row>
    <row r="346"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</row>
    <row r="347"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</row>
    <row r="348"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</row>
    <row r="349"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</row>
    <row r="350"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</row>
    <row r="351"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</row>
    <row r="352"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</row>
    <row r="353"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</row>
    <row r="354"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</row>
    <row r="355"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</row>
    <row r="356"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</row>
    <row r="357"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</row>
    <row r="358"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</row>
    <row r="359"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</row>
    <row r="360"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</row>
    <row r="361"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</row>
    <row r="362"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</row>
    <row r="363"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</row>
    <row r="364"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</row>
    <row r="365"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</row>
    <row r="366"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</row>
    <row r="367"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</row>
    <row r="368"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</row>
    <row r="369"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</row>
    <row r="370"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</row>
    <row r="371"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</row>
    <row r="372"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</row>
    <row r="373"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</row>
    <row r="374"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</row>
    <row r="375"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</row>
    <row r="376"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</row>
    <row r="377"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</row>
    <row r="378"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</row>
    <row r="379"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</row>
    <row r="380"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</row>
    <row r="381"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</row>
    <row r="382"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</row>
    <row r="383"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</row>
    <row r="384"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</row>
    <row r="385"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</row>
    <row r="386"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</row>
    <row r="387"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</row>
    <row r="388"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</row>
    <row r="389"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</row>
    <row r="390"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</row>
    <row r="391"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</row>
    <row r="392"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</row>
    <row r="393"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</row>
    <row r="394"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</row>
    <row r="395"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</row>
    <row r="396"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</row>
    <row r="397"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</row>
    <row r="398"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</row>
    <row r="399"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</row>
    <row r="400"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</row>
    <row r="401"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</row>
    <row r="402"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</row>
    <row r="403"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</row>
    <row r="404"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</row>
    <row r="405"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</row>
    <row r="406"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</row>
    <row r="407"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</row>
    <row r="408"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</row>
    <row r="409"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</row>
    <row r="410"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</row>
    <row r="411"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</row>
    <row r="412"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</row>
    <row r="413"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</row>
    <row r="414"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</row>
    <row r="415"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</row>
    <row r="416"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</row>
    <row r="417"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</row>
    <row r="418"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</row>
    <row r="419"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</row>
    <row r="420"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</row>
    <row r="421"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</row>
    <row r="422"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</row>
    <row r="423"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</row>
    <row r="424"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</row>
    <row r="425"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</row>
    <row r="426"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</row>
    <row r="427"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</row>
    <row r="428"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</row>
    <row r="429"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</row>
    <row r="430"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</row>
    <row r="431"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</row>
    <row r="432"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</row>
    <row r="433"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</row>
    <row r="434"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</row>
    <row r="435"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</row>
    <row r="436"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</row>
    <row r="437"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</row>
    <row r="438"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</row>
    <row r="439"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</row>
    <row r="440"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</row>
    <row r="441"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</row>
    <row r="442"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</row>
    <row r="443"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</row>
    <row r="444"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</row>
    <row r="445"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</row>
    <row r="446"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</row>
    <row r="447"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</row>
    <row r="448"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</row>
    <row r="449"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</row>
    <row r="450"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</row>
    <row r="451"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</row>
    <row r="452"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</row>
    <row r="453"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</row>
    <row r="454"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</row>
    <row r="455"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</row>
    <row r="456"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</row>
    <row r="457"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</row>
    <row r="458"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</row>
    <row r="459"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</row>
    <row r="460"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</row>
    <row r="461"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</row>
    <row r="462"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</row>
    <row r="463"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</row>
    <row r="464"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</row>
    <row r="465"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</row>
    <row r="466"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</row>
    <row r="467"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</row>
    <row r="468"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</row>
    <row r="469"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</row>
    <row r="470"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</row>
    <row r="471"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</row>
    <row r="472"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</row>
    <row r="473"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</row>
    <row r="474"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</row>
    <row r="475"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</row>
    <row r="476"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</row>
    <row r="477"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</row>
    <row r="478"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</row>
    <row r="479"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</row>
    <row r="480"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</row>
    <row r="481"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</row>
    <row r="482"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</row>
    <row r="483"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</row>
    <row r="484"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</row>
    <row r="485"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</row>
    <row r="486"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</row>
    <row r="487"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</row>
    <row r="488"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</row>
    <row r="489"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</row>
    <row r="490"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</row>
    <row r="491"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</row>
    <row r="492"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</row>
    <row r="493"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</row>
    <row r="494"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</row>
    <row r="495"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</row>
    <row r="496"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</row>
    <row r="497"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</row>
    <row r="498"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</row>
    <row r="499"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</row>
    <row r="500"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</row>
    <row r="501"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</row>
    <row r="502"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</row>
    <row r="503"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</row>
    <row r="504"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</row>
    <row r="505"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</row>
    <row r="506"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</row>
    <row r="507"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</row>
    <row r="508"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</row>
    <row r="509"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</row>
    <row r="510"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</row>
    <row r="511"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</row>
    <row r="512"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</row>
    <row r="513"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</row>
    <row r="514"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</row>
    <row r="515"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</row>
    <row r="516"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</row>
    <row r="517"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</row>
    <row r="518"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</row>
    <row r="519"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</row>
    <row r="520"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</row>
    <row r="521"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</row>
    <row r="522"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</row>
    <row r="523"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</row>
    <row r="524"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</row>
    <row r="525"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</row>
    <row r="526"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</row>
    <row r="527"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</row>
    <row r="528"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</row>
    <row r="529"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</row>
    <row r="530"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</row>
    <row r="531"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</row>
    <row r="532"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</row>
    <row r="533"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</row>
    <row r="534"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</row>
    <row r="535"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</row>
    <row r="536"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</row>
    <row r="537"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</row>
    <row r="538"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</row>
    <row r="539"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</row>
    <row r="540"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</row>
    <row r="541"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</row>
    <row r="542"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</row>
    <row r="543"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</row>
    <row r="544"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</row>
    <row r="545"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</row>
    <row r="546"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</row>
    <row r="547"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</row>
    <row r="548"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</row>
    <row r="549"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</row>
    <row r="550"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</row>
    <row r="551"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</row>
    <row r="552"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</row>
    <row r="553"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</row>
    <row r="554"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</row>
    <row r="555"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</row>
    <row r="556"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</row>
    <row r="557"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</row>
    <row r="558"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</row>
    <row r="559"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</row>
    <row r="560"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</row>
    <row r="561"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</row>
    <row r="562"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</row>
    <row r="563"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</row>
    <row r="564"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</row>
    <row r="565"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</row>
    <row r="566"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</row>
    <row r="567"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</row>
    <row r="568"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</row>
    <row r="569"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</row>
    <row r="570"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</row>
    <row r="571"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</row>
    <row r="572"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</row>
    <row r="573"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</row>
    <row r="574"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</row>
    <row r="575"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</row>
    <row r="576"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</row>
    <row r="577"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</row>
    <row r="578"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</row>
    <row r="579"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</row>
    <row r="580"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</row>
    <row r="581"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</row>
    <row r="582"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</row>
    <row r="583"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</row>
    <row r="584"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</row>
    <row r="585"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</row>
    <row r="586"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</row>
    <row r="587"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</row>
    <row r="588"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</row>
    <row r="589"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</row>
    <row r="590"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</row>
    <row r="591"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</row>
    <row r="592"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</row>
    <row r="593"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</row>
    <row r="594"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</row>
    <row r="595"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</row>
    <row r="596"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</row>
    <row r="597"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</row>
    <row r="598"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</row>
    <row r="599"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</row>
    <row r="600"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</row>
    <row r="601"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</row>
    <row r="602"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</row>
    <row r="603"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</row>
    <row r="604"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</row>
    <row r="605"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</row>
    <row r="606"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</row>
    <row r="607"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</row>
    <row r="608"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</row>
    <row r="609"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</row>
    <row r="610"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</row>
    <row r="611"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</row>
    <row r="612"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</row>
    <row r="613"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</row>
    <row r="614"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</row>
    <row r="615"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</row>
    <row r="616"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</row>
    <row r="617"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</row>
    <row r="618"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</row>
    <row r="619"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</row>
    <row r="620"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</row>
    <row r="621"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</row>
    <row r="622"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</row>
    <row r="623"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</row>
    <row r="624"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</row>
    <row r="625"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</row>
    <row r="626"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</row>
    <row r="627"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</row>
    <row r="628"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</row>
    <row r="629"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</row>
    <row r="630"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</row>
    <row r="631"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</row>
    <row r="632"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</row>
    <row r="633"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</row>
    <row r="634"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</row>
    <row r="635"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</row>
    <row r="636"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</row>
    <row r="637"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</row>
    <row r="638"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</row>
    <row r="639"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</row>
    <row r="640"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</row>
    <row r="641"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</row>
    <row r="642"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</row>
    <row r="643"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</row>
    <row r="644"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</row>
    <row r="645"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</row>
    <row r="646"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</row>
    <row r="647"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</row>
    <row r="648"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</row>
    <row r="649"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</row>
    <row r="650"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</row>
    <row r="651"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</row>
    <row r="652"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</row>
    <row r="653"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</row>
    <row r="654"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</row>
    <row r="655"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</row>
    <row r="656"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</row>
    <row r="657"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</row>
    <row r="658"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</row>
    <row r="659"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</row>
    <row r="660"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</row>
    <row r="661"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</row>
    <row r="662"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</row>
    <row r="663"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</row>
    <row r="664"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</row>
    <row r="665"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</row>
    <row r="666"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</row>
    <row r="667"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</row>
    <row r="668"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</row>
    <row r="669"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</row>
    <row r="670"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</row>
    <row r="671"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</row>
    <row r="672"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</row>
    <row r="673"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</row>
    <row r="674"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</row>
    <row r="675"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</row>
    <row r="676"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</row>
    <row r="677"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</row>
    <row r="678"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</row>
    <row r="679"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</row>
    <row r="680"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</row>
    <row r="681"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</row>
    <row r="682"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</row>
    <row r="683"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</row>
    <row r="684"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</row>
    <row r="685"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</row>
    <row r="686"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</row>
    <row r="687"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</row>
    <row r="688"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</row>
    <row r="689"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</row>
    <row r="690"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</row>
    <row r="691"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</row>
    <row r="692"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</row>
    <row r="693"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</row>
    <row r="694"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</row>
    <row r="695"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</row>
    <row r="696"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</row>
    <row r="697"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</row>
    <row r="698"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</row>
    <row r="699"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</row>
    <row r="700"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</row>
    <row r="701"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</row>
    <row r="702"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</row>
    <row r="703"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</row>
    <row r="704"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</row>
    <row r="705"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</row>
    <row r="706"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</row>
    <row r="707"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</row>
    <row r="708"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</row>
    <row r="709"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</row>
    <row r="710"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</row>
    <row r="711"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</row>
    <row r="712"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</row>
    <row r="713"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</row>
    <row r="714"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</row>
    <row r="715"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</row>
    <row r="716"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</row>
    <row r="717"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</row>
    <row r="718"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</row>
    <row r="719"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</row>
    <row r="720"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</row>
    <row r="721"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</row>
    <row r="722"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</row>
    <row r="723"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</row>
    <row r="724"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</row>
    <row r="725"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</row>
    <row r="726"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</row>
    <row r="727"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</row>
    <row r="728"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</row>
    <row r="729"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</row>
    <row r="730"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</row>
    <row r="731"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</row>
    <row r="732"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</row>
    <row r="733"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</row>
    <row r="734"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</row>
    <row r="735"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</row>
    <row r="736"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</row>
    <row r="737"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</row>
    <row r="738"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</row>
    <row r="739"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</row>
    <row r="740"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</row>
    <row r="741"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</row>
    <row r="742"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</row>
    <row r="743"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</row>
    <row r="744"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</row>
    <row r="745"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</row>
    <row r="746"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</row>
    <row r="747"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</row>
    <row r="748"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</row>
    <row r="749"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</row>
    <row r="750"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</row>
    <row r="751"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</row>
    <row r="752"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</row>
    <row r="753"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</row>
    <row r="754"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</row>
    <row r="755"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</row>
    <row r="756"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</row>
    <row r="757"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</row>
    <row r="758"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</row>
    <row r="759"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</row>
    <row r="760"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</row>
    <row r="761"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</row>
    <row r="762"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</row>
    <row r="763"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</row>
    <row r="764"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</row>
    <row r="765"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</row>
    <row r="766"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</row>
    <row r="767"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</row>
    <row r="768"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</row>
    <row r="769"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</row>
    <row r="770"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</row>
    <row r="771"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</row>
    <row r="772"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</row>
    <row r="773"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</row>
    <row r="774"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</row>
    <row r="775"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</row>
    <row r="776"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</row>
    <row r="777"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</row>
    <row r="778"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</row>
    <row r="779"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</row>
    <row r="780"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</row>
    <row r="781"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</row>
    <row r="782"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</row>
    <row r="783"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</row>
    <row r="784"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</row>
    <row r="785"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</row>
    <row r="786"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</row>
    <row r="787"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</row>
    <row r="788"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</row>
    <row r="789"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</row>
    <row r="790"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</row>
    <row r="791"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</row>
    <row r="792"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</row>
    <row r="793"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</row>
    <row r="794"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</row>
    <row r="795"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</row>
    <row r="796"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</row>
    <row r="797"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</row>
    <row r="798"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</row>
    <row r="799"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</row>
    <row r="800"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</row>
    <row r="801"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</row>
    <row r="802"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</row>
    <row r="803"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</row>
    <row r="804"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</row>
    <row r="805"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</row>
    <row r="806"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</row>
    <row r="807"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</row>
    <row r="808"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</row>
    <row r="809"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</row>
    <row r="810"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</row>
    <row r="811"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</row>
    <row r="812"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</row>
    <row r="813"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</row>
    <row r="814"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</row>
    <row r="815"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</row>
    <row r="816"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</row>
    <row r="817"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</row>
    <row r="818"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</row>
    <row r="819"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</row>
    <row r="820"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</row>
    <row r="821"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</row>
    <row r="822"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</row>
    <row r="823"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</row>
    <row r="824"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</row>
    <row r="825"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</row>
    <row r="826"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</row>
    <row r="827"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</row>
    <row r="828"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</row>
    <row r="829"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</row>
    <row r="830"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</row>
    <row r="831"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</row>
    <row r="832"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</row>
    <row r="833"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</row>
    <row r="834"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</row>
    <row r="835"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</row>
    <row r="836"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</row>
    <row r="837"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</row>
    <row r="838"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</row>
    <row r="839"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</row>
    <row r="840"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</row>
    <row r="841"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</row>
    <row r="842"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</row>
    <row r="843"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</row>
    <row r="844"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</row>
    <row r="845"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</row>
    <row r="846"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</row>
    <row r="847"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</row>
    <row r="848"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</row>
    <row r="849"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</row>
    <row r="850"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</row>
    <row r="851"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</row>
    <row r="852"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</row>
    <row r="853"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</row>
    <row r="854"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</row>
    <row r="855"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</row>
    <row r="856"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</row>
    <row r="857"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</row>
    <row r="858"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</row>
    <row r="859"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</row>
    <row r="860"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</row>
    <row r="861"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</row>
    <row r="862"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</row>
    <row r="863"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</row>
    <row r="864"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</row>
    <row r="865"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</row>
    <row r="866"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</row>
    <row r="867"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</row>
    <row r="868"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</row>
    <row r="869"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</row>
    <row r="870"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</row>
    <row r="871"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</row>
    <row r="872"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</row>
    <row r="873"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</row>
    <row r="874"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</row>
    <row r="875"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</row>
    <row r="876"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</row>
    <row r="877"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</row>
    <row r="878"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</row>
    <row r="879"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</row>
    <row r="880"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</row>
    <row r="881"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</row>
    <row r="882"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</row>
    <row r="883"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</row>
    <row r="884"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</row>
    <row r="885"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</row>
    <row r="886"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</row>
    <row r="887"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</row>
    <row r="888"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</row>
    <row r="889"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</row>
    <row r="890"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</row>
    <row r="891"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</row>
    <row r="892"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</row>
    <row r="893"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</row>
    <row r="894"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</row>
    <row r="895"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</row>
    <row r="896"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</row>
    <row r="897"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</row>
    <row r="898"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</row>
    <row r="899"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</row>
    <row r="900"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</row>
    <row r="901"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</row>
    <row r="902"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</row>
    <row r="903"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</row>
    <row r="904"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</row>
    <row r="905"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</row>
    <row r="906"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</row>
    <row r="907"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</row>
    <row r="908"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</row>
    <row r="909"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</row>
    <row r="910"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</row>
    <row r="911"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</row>
    <row r="912"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</row>
    <row r="913"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</row>
    <row r="914"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</row>
    <row r="915"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</row>
    <row r="916"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</row>
    <row r="917"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</row>
    <row r="918"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</row>
    <row r="919"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</row>
    <row r="920"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</row>
    <row r="921"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</row>
    <row r="922"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</row>
    <row r="923"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</row>
    <row r="924"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</row>
    <row r="925"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</row>
    <row r="926"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</row>
    <row r="927"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</row>
    <row r="928"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</row>
    <row r="929"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</row>
    <row r="930"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</row>
    <row r="931"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</row>
    <row r="932"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</row>
    <row r="933"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</row>
    <row r="934"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</row>
    <row r="935"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</row>
    <row r="936"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</row>
    <row r="937"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</row>
    <row r="938"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</row>
    <row r="939"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</row>
    <row r="940"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</row>
    <row r="941"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</row>
    <row r="942"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</row>
    <row r="943"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</row>
    <row r="944"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</row>
    <row r="945"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</row>
    <row r="946"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</row>
    <row r="947"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</row>
    <row r="948"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</row>
    <row r="949"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</row>
    <row r="950"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</row>
    <row r="951"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</row>
    <row r="952"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</row>
    <row r="953"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</row>
    <row r="954"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</row>
    <row r="955"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</row>
    <row r="956"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</row>
    <row r="957"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</row>
    <row r="958"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</row>
    <row r="959"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</row>
    <row r="960"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</row>
    <row r="961"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</row>
    <row r="962"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</row>
    <row r="963"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</row>
    <row r="964"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</row>
    <row r="965"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</row>
    <row r="966"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</row>
    <row r="967"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</row>
    <row r="968"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</row>
    <row r="969"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</row>
    <row r="970"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</row>
    <row r="971"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</row>
    <row r="972"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</row>
    <row r="973"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</row>
    <row r="974"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</row>
    <row r="975"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</row>
    <row r="976"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</row>
    <row r="977"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</row>
    <row r="978"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</row>
    <row r="979"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</row>
    <row r="980"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</row>
    <row r="981"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</row>
    <row r="982"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</row>
    <row r="983"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</row>
    <row r="984">
      <c r="B984" s="178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</row>
    <row r="985">
      <c r="B985" s="178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</row>
    <row r="986">
      <c r="B986" s="178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</row>
    <row r="987">
      <c r="B987" s="178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</row>
    <row r="988">
      <c r="B988" s="178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</row>
    <row r="989">
      <c r="B989" s="178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</row>
    <row r="990">
      <c r="B990" s="178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</row>
    <row r="991">
      <c r="B991" s="178"/>
      <c r="C991" s="178"/>
      <c r="D991" s="178"/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</row>
    <row r="992">
      <c r="B992" s="178"/>
      <c r="C992" s="178"/>
      <c r="D992" s="178"/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</row>
    <row r="993">
      <c r="B993" s="178"/>
      <c r="C993" s="178"/>
      <c r="D993" s="178"/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</row>
    <row r="994">
      <c r="B994" s="178"/>
      <c r="C994" s="178"/>
      <c r="D994" s="178"/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</row>
    <row r="995">
      <c r="B995" s="178"/>
      <c r="C995" s="178"/>
      <c r="D995" s="178"/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</row>
    <row r="996">
      <c r="B996" s="178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</row>
    <row r="997">
      <c r="B997" s="178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</row>
    <row r="998">
      <c r="B998" s="178"/>
      <c r="C998" s="178"/>
      <c r="D998" s="178"/>
      <c r="E998" s="178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</row>
    <row r="999">
      <c r="B999" s="178"/>
      <c r="C999" s="178"/>
      <c r="D999" s="178"/>
      <c r="E999" s="178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</row>
    <row r="1000">
      <c r="B1000" s="178"/>
      <c r="C1000" s="178"/>
      <c r="D1000" s="178"/>
      <c r="E1000" s="178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</row>
    <row r="1001">
      <c r="B1001" s="178"/>
      <c r="C1001" s="178"/>
      <c r="D1001" s="178"/>
      <c r="E1001" s="178"/>
      <c r="F1001" s="178"/>
      <c r="G1001" s="178"/>
      <c r="H1001" s="178"/>
      <c r="I1001" s="178"/>
      <c r="J1001" s="178"/>
      <c r="K1001" s="178"/>
      <c r="L1001" s="178"/>
      <c r="M1001" s="178"/>
      <c r="N1001" s="178"/>
      <c r="O1001" s="178"/>
    </row>
    <row r="1002">
      <c r="B1002" s="178"/>
      <c r="C1002" s="178"/>
      <c r="D1002" s="178"/>
      <c r="E1002" s="178"/>
      <c r="F1002" s="178"/>
      <c r="G1002" s="178"/>
      <c r="H1002" s="178"/>
      <c r="I1002" s="178"/>
      <c r="J1002" s="178"/>
      <c r="K1002" s="178"/>
      <c r="L1002" s="178"/>
      <c r="M1002" s="178"/>
      <c r="N1002" s="178"/>
      <c r="O1002" s="178"/>
    </row>
    <row r="1003">
      <c r="B1003" s="178"/>
      <c r="C1003" s="178"/>
      <c r="D1003" s="178"/>
      <c r="E1003" s="178"/>
      <c r="F1003" s="178"/>
      <c r="G1003" s="178"/>
      <c r="H1003" s="178"/>
      <c r="I1003" s="178"/>
      <c r="J1003" s="178"/>
      <c r="K1003" s="178"/>
      <c r="L1003" s="178"/>
      <c r="M1003" s="178"/>
      <c r="N1003" s="178"/>
      <c r="O1003" s="178"/>
    </row>
    <row r="1004">
      <c r="B1004" s="178"/>
      <c r="C1004" s="178"/>
      <c r="D1004" s="178"/>
      <c r="E1004" s="178"/>
      <c r="F1004" s="178"/>
      <c r="G1004" s="178"/>
      <c r="H1004" s="178"/>
      <c r="I1004" s="178"/>
      <c r="J1004" s="178"/>
      <c r="K1004" s="178"/>
      <c r="L1004" s="178"/>
      <c r="M1004" s="178"/>
      <c r="N1004" s="178"/>
      <c r="O1004" s="178"/>
    </row>
  </sheetData>
  <mergeCells count="10">
    <mergeCell ref="A5:O5"/>
    <mergeCell ref="B6:O6"/>
    <mergeCell ref="A1:D4"/>
    <mergeCell ref="E1:F4"/>
    <mergeCell ref="G1:L4"/>
    <mergeCell ref="M1:N2"/>
    <mergeCell ref="O1:O4"/>
    <mergeCell ref="M3:N4"/>
    <mergeCell ref="A6:A7"/>
    <mergeCell ref="A8:A3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2011-08-11T13:21:02Z</dcterms:created>
  <dc:creator>WinuE</dc:creator>
</cp:coreProperties>
</file>